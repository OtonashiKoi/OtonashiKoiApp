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怪物資料" sheetId="1" r:id="rId1"/>
    <sheet name="世界王階段" sheetId="2" r:id="rId2"/>
    <sheet name="戰鬥計算機" sheetId="3" r:id="rId3"/>
    <sheet name="世界王計算機" sheetId="4" r:id="rId4"/>
    <sheet name="公式說明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id</v>
      </c>
      <c r="B1" t="str">
        <v>name</v>
      </c>
      <c r="C1" t="str">
        <v>zone</v>
      </c>
      <c r="D1" t="str">
        <v>seq</v>
      </c>
      <c r="E1" t="str">
        <v>enabled</v>
      </c>
      <c r="F1" t="str">
        <v>isBoss</v>
      </c>
      <c r="G1" t="str">
        <v>level</v>
      </c>
      <c r="H1" t="str">
        <v>str</v>
      </c>
      <c r="I1" t="str">
        <v>agi</v>
      </c>
      <c r="J1" t="str">
        <v>vit</v>
      </c>
      <c r="K1" t="str">
        <v>int</v>
      </c>
      <c r="L1" t="str">
        <v>dex</v>
      </c>
      <c r="M1" t="str">
        <v>luk</v>
      </c>
      <c r="N1" t="str">
        <v>maxHp</v>
      </c>
      <c r="O1" t="str">
        <v>atk</v>
      </c>
      <c r="P1" t="str">
        <v>defPct</v>
      </c>
      <c r="Q1" t="str">
        <v>flatDef</v>
      </c>
      <c r="R1" t="str">
        <v>dodge</v>
      </c>
      <c r="S1" t="str">
        <v>hit</v>
      </c>
      <c r="T1" t="str">
        <v>critRate</v>
      </c>
      <c r="U1" t="str">
        <v>comboChance</v>
      </c>
      <c r="V1" t="str">
        <v>dmgMin</v>
      </c>
      <c r="W1" t="str">
        <v>dmgMax</v>
      </c>
      <c r="X1" t="str">
        <v>defIgnorePct</v>
      </c>
    </row>
    <row r="2">
      <c r="A2" t="str">
        <v>f24bfc8c-4eba-4c10-85a0-73e77e4f6448</v>
      </c>
      <c r="B2" t="str">
        <v>古城弓手</v>
      </c>
      <c r="C2" t="str">
        <v>ancient_city</v>
      </c>
      <c r="D2">
        <v>2</v>
      </c>
      <c r="E2" t="b">
        <v>1</v>
      </c>
      <c r="F2" t="b">
        <v>0</v>
      </c>
      <c r="G2">
        <v>22</v>
      </c>
      <c r="H2">
        <v>18</v>
      </c>
      <c r="I2">
        <v>30</v>
      </c>
      <c r="J2">
        <v>12</v>
      </c>
      <c r="K2">
        <v>3</v>
      </c>
      <c r="L2">
        <v>35</v>
      </c>
      <c r="M2">
        <v>7</v>
      </c>
      <c r="N2">
        <v>5000</v>
      </c>
      <c r="O2">
        <v>54</v>
      </c>
      <c r="P2">
        <v>30</v>
      </c>
      <c r="Q2">
        <v>34</v>
      </c>
      <c r="R2">
        <v>15</v>
      </c>
      <c r="S2">
        <v>100</v>
      </c>
      <c r="T2">
        <v>2</v>
      </c>
      <c r="U2">
        <v>18</v>
      </c>
      <c r="V2">
        <v>0.73</v>
      </c>
      <c r="W2">
        <v>1</v>
      </c>
      <c r="X2">
        <v>45</v>
      </c>
    </row>
    <row r="3">
      <c r="A3" t="str">
        <v>814f097c-283e-4c35-98b5-7aaa8b08dd7c</v>
      </c>
      <c r="B3" t="str">
        <v>石像鬼</v>
      </c>
      <c r="C3" t="str">
        <v>ancient_city</v>
      </c>
      <c r="D3">
        <v>3</v>
      </c>
      <c r="E3" t="b">
        <v>1</v>
      </c>
      <c r="F3" t="b">
        <v>0</v>
      </c>
      <c r="G3">
        <v>26</v>
      </c>
      <c r="H3">
        <v>28</v>
      </c>
      <c r="I3">
        <v>3</v>
      </c>
      <c r="J3">
        <v>32</v>
      </c>
      <c r="K3">
        <v>2</v>
      </c>
      <c r="L3">
        <v>2</v>
      </c>
      <c r="M3">
        <v>2</v>
      </c>
      <c r="N3">
        <v>6400</v>
      </c>
      <c r="O3">
        <v>84</v>
      </c>
      <c r="P3">
        <v>60</v>
      </c>
      <c r="Q3">
        <v>58</v>
      </c>
      <c r="R3">
        <v>1.5</v>
      </c>
      <c r="S3">
        <v>82</v>
      </c>
      <c r="T3">
        <v>1</v>
      </c>
      <c r="U3">
        <v>5</v>
      </c>
      <c r="V3">
        <v>0.72</v>
      </c>
      <c r="W3">
        <v>1</v>
      </c>
      <c r="X3">
        <v>45</v>
      </c>
    </row>
    <row r="4">
      <c r="A4" t="str">
        <v>2d0d3516-e7ef-4916-b966-b38145a18fd4</v>
      </c>
      <c r="B4" t="str">
        <v>古城法師</v>
      </c>
      <c r="C4" t="str">
        <v>ancient_city</v>
      </c>
      <c r="D4">
        <v>4</v>
      </c>
      <c r="E4" t="b">
        <v>1</v>
      </c>
      <c r="F4" t="b">
        <v>0</v>
      </c>
      <c r="G4">
        <v>23</v>
      </c>
      <c r="H4">
        <v>26</v>
      </c>
      <c r="I4">
        <v>6</v>
      </c>
      <c r="J4">
        <v>10</v>
      </c>
      <c r="K4">
        <v>35</v>
      </c>
      <c r="L4">
        <v>25</v>
      </c>
      <c r="M4">
        <v>8</v>
      </c>
      <c r="N4">
        <v>5000</v>
      </c>
      <c r="O4">
        <v>78</v>
      </c>
      <c r="P4">
        <v>25</v>
      </c>
      <c r="Q4">
        <v>33</v>
      </c>
      <c r="R4">
        <v>3</v>
      </c>
      <c r="S4">
        <v>100</v>
      </c>
      <c r="T4">
        <v>2</v>
      </c>
      <c r="U4">
        <v>6</v>
      </c>
      <c r="V4">
        <v>1</v>
      </c>
      <c r="W4">
        <v>1</v>
      </c>
      <c r="X4">
        <v>45</v>
      </c>
    </row>
    <row r="5">
      <c r="A5" t="str">
        <v>388a118f-b839-4287-ba02-0c7a12cd0c06</v>
      </c>
      <c r="B5" t="str">
        <v>廢墟蠍兵</v>
      </c>
      <c r="C5" t="str">
        <v>ancient_city</v>
      </c>
      <c r="D5">
        <v>5</v>
      </c>
      <c r="E5" t="b">
        <v>1</v>
      </c>
      <c r="F5" t="b">
        <v>0</v>
      </c>
      <c r="G5">
        <v>20</v>
      </c>
      <c r="H5">
        <v>22</v>
      </c>
      <c r="I5">
        <v>25</v>
      </c>
      <c r="J5">
        <v>18</v>
      </c>
      <c r="K5">
        <v>3</v>
      </c>
      <c r="L5">
        <v>30</v>
      </c>
      <c r="M5">
        <v>5</v>
      </c>
      <c r="N5">
        <v>4700</v>
      </c>
      <c r="O5">
        <v>66</v>
      </c>
      <c r="P5">
        <v>38</v>
      </c>
      <c r="Q5">
        <v>38</v>
      </c>
      <c r="R5">
        <v>12.5</v>
      </c>
      <c r="S5">
        <v>100</v>
      </c>
      <c r="T5">
        <v>2</v>
      </c>
      <c r="U5">
        <v>16</v>
      </c>
      <c r="V5">
        <v>0.73</v>
      </c>
      <c r="W5">
        <v>1</v>
      </c>
      <c r="X5">
        <v>45</v>
      </c>
    </row>
    <row r="6">
      <c r="A6" t="str">
        <v>9a0ac6a5-4f2e-4186-a66a-73a6de9cb5e2</v>
      </c>
      <c r="B6" t="str">
        <v>詛咒祭司</v>
      </c>
      <c r="C6" t="str">
        <v>ancient_city</v>
      </c>
      <c r="D6">
        <v>7</v>
      </c>
      <c r="E6" t="b">
        <v>1</v>
      </c>
      <c r="F6" t="b">
        <v>0</v>
      </c>
      <c r="G6">
        <v>28</v>
      </c>
      <c r="H6">
        <v>16</v>
      </c>
      <c r="I6">
        <v>18</v>
      </c>
      <c r="J6">
        <v>14</v>
      </c>
      <c r="K6">
        <v>22</v>
      </c>
      <c r="L6">
        <v>22</v>
      </c>
      <c r="M6">
        <v>10</v>
      </c>
      <c r="N6">
        <v>5800</v>
      </c>
      <c r="O6">
        <v>48</v>
      </c>
      <c r="P6">
        <v>32</v>
      </c>
      <c r="Q6">
        <v>42</v>
      </c>
      <c r="R6">
        <v>9</v>
      </c>
      <c r="S6">
        <v>100</v>
      </c>
      <c r="T6">
        <v>3</v>
      </c>
      <c r="U6">
        <v>12</v>
      </c>
      <c r="V6">
        <v>0.9199999999999999</v>
      </c>
      <c r="W6">
        <v>1</v>
      </c>
      <c r="X6">
        <v>45</v>
      </c>
    </row>
    <row r="7">
      <c r="A7" t="str">
        <v>4a46dd14-b74c-4a5d-9cde-b7d0f270ce0f</v>
      </c>
      <c r="B7" t="str">
        <v>古城刺客</v>
      </c>
      <c r="C7" t="str">
        <v>ancient_city</v>
      </c>
      <c r="D7">
        <v>9</v>
      </c>
      <c r="E7" t="b">
        <v>1</v>
      </c>
      <c r="F7" t="b">
        <v>0</v>
      </c>
      <c r="G7">
        <v>25</v>
      </c>
      <c r="H7">
        <v>20</v>
      </c>
      <c r="I7">
        <v>50</v>
      </c>
      <c r="J7">
        <v>15</v>
      </c>
      <c r="K7">
        <v>5</v>
      </c>
      <c r="L7">
        <v>35</v>
      </c>
      <c r="M7">
        <v>8</v>
      </c>
      <c r="N7">
        <v>5600</v>
      </c>
      <c r="O7">
        <v>60</v>
      </c>
      <c r="P7">
        <v>32</v>
      </c>
      <c r="Q7">
        <v>40</v>
      </c>
      <c r="R7">
        <v>25</v>
      </c>
      <c r="S7">
        <v>100</v>
      </c>
      <c r="T7">
        <v>2</v>
      </c>
      <c r="U7">
        <v>28</v>
      </c>
      <c r="V7">
        <v>0.75</v>
      </c>
      <c r="W7">
        <v>1</v>
      </c>
      <c r="X7">
        <v>45</v>
      </c>
    </row>
    <row r="8">
      <c r="A8" t="str">
        <v>139df36b-f838-4875-b3f0-2d9003fc6f8f</v>
      </c>
      <c r="B8" t="str">
        <v>毒霧蜘蛛</v>
      </c>
      <c r="C8" t="str">
        <v>ancient_city</v>
      </c>
      <c r="D8">
        <v>10</v>
      </c>
      <c r="E8" t="b">
        <v>1</v>
      </c>
      <c r="F8" t="b">
        <v>0</v>
      </c>
      <c r="G8">
        <v>21</v>
      </c>
      <c r="H8">
        <v>18</v>
      </c>
      <c r="I8">
        <v>30</v>
      </c>
      <c r="J8">
        <v>12</v>
      </c>
      <c r="K8">
        <v>15</v>
      </c>
      <c r="L8">
        <v>28</v>
      </c>
      <c r="M8">
        <v>12</v>
      </c>
      <c r="N8">
        <v>4800</v>
      </c>
      <c r="O8">
        <v>54</v>
      </c>
      <c r="P8">
        <v>38</v>
      </c>
      <c r="Q8">
        <v>33</v>
      </c>
      <c r="R8">
        <v>15</v>
      </c>
      <c r="S8">
        <v>100</v>
      </c>
      <c r="T8">
        <v>4</v>
      </c>
      <c r="U8">
        <v>18</v>
      </c>
      <c r="V8">
        <v>0.85</v>
      </c>
      <c r="W8">
        <v>1</v>
      </c>
      <c r="X8">
        <v>45</v>
      </c>
    </row>
    <row r="9">
      <c r="A9" t="str">
        <v>5c20d4ba-5f38-4d6b-a724-369eb632ff1d</v>
      </c>
      <c r="B9" t="str">
        <v>城堡魔像(B)</v>
      </c>
      <c r="C9" t="str">
        <v>ancient_city</v>
      </c>
      <c r="D9">
        <v>13</v>
      </c>
      <c r="E9" t="b">
        <v>1</v>
      </c>
      <c r="F9" t="b">
        <v>1</v>
      </c>
      <c r="G9">
        <v>30</v>
      </c>
      <c r="H9">
        <v>32</v>
      </c>
      <c r="I9">
        <v>5</v>
      </c>
      <c r="J9">
        <v>40</v>
      </c>
      <c r="K9">
        <v>5</v>
      </c>
      <c r="L9">
        <v>5</v>
      </c>
      <c r="M9">
        <v>5</v>
      </c>
      <c r="N9">
        <v>21500</v>
      </c>
      <c r="O9">
        <v>96</v>
      </c>
      <c r="P9">
        <v>70</v>
      </c>
      <c r="Q9">
        <v>70</v>
      </c>
      <c r="R9">
        <v>2.5</v>
      </c>
      <c r="S9">
        <v>85</v>
      </c>
      <c r="T9">
        <v>2</v>
      </c>
      <c r="U9">
        <v>6</v>
      </c>
      <c r="V9">
        <v>0.75</v>
      </c>
      <c r="W9">
        <v>1</v>
      </c>
      <c r="X9">
        <v>60</v>
      </c>
    </row>
    <row r="10">
      <c r="A10" t="str">
        <v>5152b379-9bdd-404a-acb4-b80935664aba</v>
      </c>
      <c r="B10" t="str">
        <v>城牆衛兵</v>
      </c>
      <c r="C10" t="str">
        <v>ancient_city_deep</v>
      </c>
      <c r="D10">
        <v>1</v>
      </c>
      <c r="E10" t="b">
        <v>1</v>
      </c>
      <c r="F10" t="b">
        <v>0</v>
      </c>
      <c r="G10">
        <v>32</v>
      </c>
      <c r="H10">
        <v>20</v>
      </c>
      <c r="I10">
        <v>5</v>
      </c>
      <c r="J10">
        <v>25</v>
      </c>
      <c r="K10">
        <v>2</v>
      </c>
      <c r="L10">
        <v>5</v>
      </c>
      <c r="M10">
        <v>3</v>
      </c>
      <c r="N10">
        <v>10900</v>
      </c>
      <c r="O10">
        <v>60</v>
      </c>
      <c r="P10">
        <v>55</v>
      </c>
      <c r="Q10">
        <v>57</v>
      </c>
      <c r="R10">
        <v>2.5</v>
      </c>
      <c r="S10">
        <v>85</v>
      </c>
      <c r="T10">
        <v>1</v>
      </c>
      <c r="U10">
        <v>6</v>
      </c>
      <c r="V10">
        <v>0.72</v>
      </c>
      <c r="W10">
        <v>1</v>
      </c>
      <c r="X10">
        <v>45</v>
      </c>
    </row>
    <row r="11">
      <c r="A11" t="str">
        <v>53fdc9ee-b719-4f8c-a93e-3ab5a0a3ce09</v>
      </c>
      <c r="B11" t="str">
        <v>冰封騎士</v>
      </c>
      <c r="C11" t="str">
        <v>ancient_city_deep</v>
      </c>
      <c r="D11">
        <v>6</v>
      </c>
      <c r="E11" t="b">
        <v>1</v>
      </c>
      <c r="F11" t="b">
        <v>0</v>
      </c>
      <c r="G11">
        <v>38</v>
      </c>
      <c r="H11">
        <v>30</v>
      </c>
      <c r="I11">
        <v>4</v>
      </c>
      <c r="J11">
        <v>35</v>
      </c>
      <c r="K11">
        <v>5</v>
      </c>
      <c r="L11">
        <v>4</v>
      </c>
      <c r="M11">
        <v>2</v>
      </c>
      <c r="N11">
        <v>12900</v>
      </c>
      <c r="O11">
        <v>90</v>
      </c>
      <c r="P11">
        <v>62</v>
      </c>
      <c r="Q11">
        <v>73</v>
      </c>
      <c r="R11">
        <v>2</v>
      </c>
      <c r="S11">
        <v>84</v>
      </c>
      <c r="T11">
        <v>1</v>
      </c>
      <c r="U11">
        <v>5</v>
      </c>
      <c r="V11">
        <v>0.75</v>
      </c>
      <c r="W11">
        <v>1</v>
      </c>
      <c r="X11">
        <v>45</v>
      </c>
    </row>
    <row r="12">
      <c r="A12" t="str">
        <v>8eea80b7-c836-413b-8912-7c3ce6a899a7</v>
      </c>
      <c r="B12" t="str">
        <v>鐵甲衛將</v>
      </c>
      <c r="C12" t="str">
        <v>ancient_city_deep</v>
      </c>
      <c r="D12">
        <v>8</v>
      </c>
      <c r="E12" t="b">
        <v>1</v>
      </c>
      <c r="F12" t="b">
        <v>0</v>
      </c>
      <c r="G12">
        <v>36</v>
      </c>
      <c r="H12">
        <v>25</v>
      </c>
      <c r="I12">
        <v>6</v>
      </c>
      <c r="J12">
        <v>28</v>
      </c>
      <c r="K12">
        <v>3</v>
      </c>
      <c r="L12">
        <v>6</v>
      </c>
      <c r="M12">
        <v>3</v>
      </c>
      <c r="N12">
        <v>12000</v>
      </c>
      <c r="O12">
        <v>75</v>
      </c>
      <c r="P12">
        <v>68</v>
      </c>
      <c r="Q12">
        <v>64</v>
      </c>
      <c r="R12">
        <v>3</v>
      </c>
      <c r="S12">
        <v>86</v>
      </c>
      <c r="T12">
        <v>1</v>
      </c>
      <c r="U12">
        <v>6</v>
      </c>
      <c r="V12">
        <v>0.73</v>
      </c>
      <c r="W12">
        <v>1</v>
      </c>
      <c r="X12">
        <v>45</v>
      </c>
    </row>
    <row r="13">
      <c r="A13" t="str">
        <v>32a783be-798c-4640-bd2d-00af3e330313</v>
      </c>
      <c r="B13" t="str">
        <v>古城狂戰士</v>
      </c>
      <c r="C13" t="str">
        <v>ancient_city_deep</v>
      </c>
      <c r="D13">
        <v>11</v>
      </c>
      <c r="E13" t="b">
        <v>1</v>
      </c>
      <c r="F13" t="b">
        <v>0</v>
      </c>
      <c r="G13">
        <v>34</v>
      </c>
      <c r="H13">
        <v>38</v>
      </c>
      <c r="I13">
        <v>10</v>
      </c>
      <c r="J13">
        <v>30</v>
      </c>
      <c r="K13">
        <v>2</v>
      </c>
      <c r="L13">
        <v>6</v>
      </c>
      <c r="M13">
        <v>4</v>
      </c>
      <c r="N13">
        <v>11600</v>
      </c>
      <c r="O13">
        <v>114</v>
      </c>
      <c r="P13">
        <v>50</v>
      </c>
      <c r="Q13">
        <v>64</v>
      </c>
      <c r="R13">
        <v>5</v>
      </c>
      <c r="S13">
        <v>86</v>
      </c>
      <c r="T13">
        <v>1</v>
      </c>
      <c r="U13">
        <v>8</v>
      </c>
      <c r="V13">
        <v>0.72</v>
      </c>
      <c r="W13">
        <v>1</v>
      </c>
      <c r="X13">
        <v>45</v>
      </c>
    </row>
    <row r="14">
      <c r="A14" t="str">
        <v>35ec8cc7-9f0c-4d61-8a40-343d8857be2f</v>
      </c>
      <c r="B14" t="str">
        <v>黑焰巫師</v>
      </c>
      <c r="C14" t="str">
        <v>ancient_city_deep</v>
      </c>
      <c r="D14">
        <v>12</v>
      </c>
      <c r="E14" t="b">
        <v>1</v>
      </c>
      <c r="F14" t="b">
        <v>0</v>
      </c>
      <c r="G14">
        <v>30</v>
      </c>
      <c r="H14">
        <v>22</v>
      </c>
      <c r="I14">
        <v>6</v>
      </c>
      <c r="J14">
        <v>12</v>
      </c>
      <c r="K14">
        <v>40</v>
      </c>
      <c r="L14">
        <v>22</v>
      </c>
      <c r="M14">
        <v>10</v>
      </c>
      <c r="N14">
        <v>9600</v>
      </c>
      <c r="O14">
        <v>66</v>
      </c>
      <c r="P14">
        <v>28</v>
      </c>
      <c r="Q14">
        <v>42</v>
      </c>
      <c r="R14">
        <v>3</v>
      </c>
      <c r="S14">
        <v>100</v>
      </c>
      <c r="T14">
        <v>3</v>
      </c>
      <c r="U14">
        <v>6</v>
      </c>
      <c r="V14">
        <v>1</v>
      </c>
      <c r="W14">
        <v>1</v>
      </c>
      <c r="X14">
        <v>45</v>
      </c>
    </row>
    <row r="15">
      <c r="A15" t="str">
        <v>69459022-2457-48e3-9804-d6f9be346a25</v>
      </c>
      <c r="B15" t="str">
        <v>古城將軍(B)</v>
      </c>
      <c r="C15" t="str">
        <v>ancient_city_deep</v>
      </c>
      <c r="D15">
        <v>14</v>
      </c>
      <c r="E15" t="b">
        <v>1</v>
      </c>
      <c r="F15" t="b">
        <v>1</v>
      </c>
      <c r="G15">
        <v>39</v>
      </c>
      <c r="H15">
        <v>38</v>
      </c>
      <c r="I15">
        <v>42</v>
      </c>
      <c r="J15">
        <v>25</v>
      </c>
      <c r="K15">
        <v>8</v>
      </c>
      <c r="L15">
        <v>38</v>
      </c>
      <c r="M15">
        <v>12</v>
      </c>
      <c r="N15">
        <v>40500</v>
      </c>
      <c r="O15">
        <v>114</v>
      </c>
      <c r="P15">
        <v>48</v>
      </c>
      <c r="Q15">
        <v>64</v>
      </c>
      <c r="R15">
        <v>21</v>
      </c>
      <c r="S15">
        <v>100</v>
      </c>
      <c r="T15">
        <v>4</v>
      </c>
      <c r="U15">
        <v>24</v>
      </c>
      <c r="V15">
        <v>0.7799999999999999</v>
      </c>
      <c r="W15">
        <v>1</v>
      </c>
      <c r="X15">
        <v>60</v>
      </c>
    </row>
    <row r="16">
      <c r="A16" t="str">
        <v>0496ea5d-786e-4b07-ba65-30949c1afe31</v>
      </c>
      <c r="B16" t="str">
        <v>廢都魔王(B)</v>
      </c>
      <c r="C16" t="str">
        <v>ancient_city_deep</v>
      </c>
      <c r="D16">
        <v>15</v>
      </c>
      <c r="E16" t="b">
        <v>1</v>
      </c>
      <c r="F16" t="b">
        <v>1</v>
      </c>
      <c r="G16">
        <v>40</v>
      </c>
      <c r="H16">
        <v>45</v>
      </c>
      <c r="I16">
        <v>20</v>
      </c>
      <c r="J16">
        <v>45</v>
      </c>
      <c r="K16">
        <v>20</v>
      </c>
      <c r="L16">
        <v>22</v>
      </c>
      <c r="M16">
        <v>15</v>
      </c>
      <c r="N16">
        <v>79500</v>
      </c>
      <c r="O16">
        <v>135</v>
      </c>
      <c r="P16">
        <v>65</v>
      </c>
      <c r="Q16">
        <v>85</v>
      </c>
      <c r="R16">
        <v>10</v>
      </c>
      <c r="S16">
        <v>100</v>
      </c>
      <c r="T16">
        <v>5</v>
      </c>
      <c r="U16">
        <v>13</v>
      </c>
      <c r="V16">
        <v>0.8999999999999999</v>
      </c>
      <c r="W16">
        <v>1</v>
      </c>
      <c r="X16">
        <v>60</v>
      </c>
    </row>
    <row r="17">
      <c r="A17" t="str">
        <v>75fc9a55-3f1b-406d-92e7-3ec4fd787e44</v>
      </c>
      <c r="B17" t="str">
        <v>小史(小)</v>
      </c>
      <c r="C17" t="str">
        <v>beginner</v>
      </c>
      <c r="D17">
        <v>1</v>
      </c>
      <c r="E17" t="b">
        <v>1</v>
      </c>
      <c r="F17" t="b">
        <v>0</v>
      </c>
      <c r="G17">
        <v>1</v>
      </c>
      <c r="H17">
        <v>1</v>
      </c>
      <c r="I17">
        <v>2</v>
      </c>
      <c r="J17">
        <v>2</v>
      </c>
      <c r="K17">
        <v>1</v>
      </c>
      <c r="L17">
        <v>2</v>
      </c>
      <c r="M17">
        <v>1</v>
      </c>
      <c r="N17">
        <v>300</v>
      </c>
      <c r="O17">
        <v>3</v>
      </c>
      <c r="P17">
        <v>5</v>
      </c>
      <c r="Q17">
        <v>0</v>
      </c>
      <c r="R17">
        <v>1</v>
      </c>
      <c r="S17">
        <v>82</v>
      </c>
      <c r="T17">
        <v>0</v>
      </c>
      <c r="U17">
        <v>4</v>
      </c>
      <c r="V17">
        <v>0.71</v>
      </c>
      <c r="W17">
        <v>1</v>
      </c>
      <c r="X17">
        <v>0</v>
      </c>
    </row>
    <row r="18">
      <c r="A18" t="str">
        <v>ac87e4b7-2c1c-4d6c-8fa8-c873fc26039f</v>
      </c>
      <c r="B18" t="str">
        <v>野兔</v>
      </c>
      <c r="C18" t="str">
        <v>beginner</v>
      </c>
      <c r="D18">
        <v>2</v>
      </c>
      <c r="E18" t="b">
        <v>1</v>
      </c>
      <c r="F18" t="b">
        <v>0</v>
      </c>
      <c r="G18">
        <v>1</v>
      </c>
      <c r="H18">
        <v>1</v>
      </c>
      <c r="I18">
        <v>5</v>
      </c>
      <c r="J18">
        <v>2</v>
      </c>
      <c r="K18">
        <v>1</v>
      </c>
      <c r="L18">
        <v>3</v>
      </c>
      <c r="M18">
        <v>2</v>
      </c>
      <c r="N18">
        <v>400</v>
      </c>
      <c r="O18">
        <v>3</v>
      </c>
      <c r="P18">
        <v>5</v>
      </c>
      <c r="Q18">
        <v>0</v>
      </c>
      <c r="R18">
        <v>2.5</v>
      </c>
      <c r="S18">
        <v>83</v>
      </c>
      <c r="T18">
        <v>1</v>
      </c>
      <c r="U18">
        <v>6</v>
      </c>
      <c r="V18">
        <v>0.71</v>
      </c>
      <c r="W18">
        <v>1</v>
      </c>
      <c r="X18">
        <v>0</v>
      </c>
    </row>
    <row r="19">
      <c r="A19" t="str">
        <v>5606a251-bea4-4d4c-bd37-d985a7d7a6d3</v>
      </c>
      <c r="B19" t="str">
        <v>蘑菇怪</v>
      </c>
      <c r="C19" t="str">
        <v>beginner</v>
      </c>
      <c r="D19">
        <v>3</v>
      </c>
      <c r="E19" t="b">
        <v>1</v>
      </c>
      <c r="F19" t="b">
        <v>0</v>
      </c>
      <c r="G19">
        <v>2</v>
      </c>
      <c r="H19">
        <v>2</v>
      </c>
      <c r="I19">
        <v>2</v>
      </c>
      <c r="J19">
        <v>3</v>
      </c>
      <c r="K19">
        <v>2</v>
      </c>
      <c r="L19">
        <v>2</v>
      </c>
      <c r="M19">
        <v>1</v>
      </c>
      <c r="N19">
        <v>700</v>
      </c>
      <c r="O19">
        <v>6</v>
      </c>
      <c r="P19">
        <v>8</v>
      </c>
      <c r="Q19">
        <v>0</v>
      </c>
      <c r="R19">
        <v>1</v>
      </c>
      <c r="S19">
        <v>82</v>
      </c>
      <c r="T19">
        <v>0</v>
      </c>
      <c r="U19">
        <v>4</v>
      </c>
      <c r="V19">
        <v>0.72</v>
      </c>
      <c r="W19">
        <v>1</v>
      </c>
      <c r="X19">
        <v>0</v>
      </c>
    </row>
    <row r="20">
      <c r="A20" t="str">
        <v>92974d12-fd4d-4482-8ea7-171712ae894c</v>
      </c>
      <c r="B20" t="str">
        <v>小史(中)</v>
      </c>
      <c r="C20" t="str">
        <v>beginner</v>
      </c>
      <c r="D20">
        <v>4</v>
      </c>
      <c r="E20" t="b">
        <v>1</v>
      </c>
      <c r="F20" t="b">
        <v>0</v>
      </c>
      <c r="G20">
        <v>3</v>
      </c>
      <c r="H20">
        <v>2</v>
      </c>
      <c r="I20">
        <v>4</v>
      </c>
      <c r="J20">
        <v>3</v>
      </c>
      <c r="K20">
        <v>1</v>
      </c>
      <c r="L20">
        <v>3</v>
      </c>
      <c r="M20">
        <v>1</v>
      </c>
      <c r="N20">
        <v>900</v>
      </c>
      <c r="O20">
        <v>6</v>
      </c>
      <c r="P20">
        <v>10</v>
      </c>
      <c r="Q20">
        <v>0</v>
      </c>
      <c r="R20">
        <v>2</v>
      </c>
      <c r="S20">
        <v>83</v>
      </c>
      <c r="T20">
        <v>0</v>
      </c>
      <c r="U20">
        <v>5</v>
      </c>
      <c r="V20">
        <v>0.71</v>
      </c>
      <c r="W20">
        <v>1</v>
      </c>
      <c r="X20">
        <v>0</v>
      </c>
    </row>
    <row r="21">
      <c r="A21" t="str">
        <v>19fecf53-1ee1-48bc-a097-42bccbe12227</v>
      </c>
      <c r="B21" t="str">
        <v>大野兔(B)</v>
      </c>
      <c r="C21" t="str">
        <v>beginner</v>
      </c>
      <c r="D21">
        <v>5</v>
      </c>
      <c r="E21" t="b">
        <v>1</v>
      </c>
      <c r="F21" t="b">
        <v>1</v>
      </c>
      <c r="G21">
        <v>3</v>
      </c>
      <c r="H21">
        <v>3</v>
      </c>
      <c r="I21">
        <v>8</v>
      </c>
      <c r="J21">
        <v>4</v>
      </c>
      <c r="K21">
        <v>1</v>
      </c>
      <c r="L21">
        <v>5</v>
      </c>
      <c r="M21">
        <v>3</v>
      </c>
      <c r="N21">
        <v>3000</v>
      </c>
      <c r="O21">
        <v>9</v>
      </c>
      <c r="P21">
        <v>15</v>
      </c>
      <c r="Q21">
        <v>0</v>
      </c>
      <c r="R21">
        <v>4</v>
      </c>
      <c r="S21">
        <v>85</v>
      </c>
      <c r="T21">
        <v>1</v>
      </c>
      <c r="U21">
        <v>7</v>
      </c>
      <c r="V21">
        <v>0.71</v>
      </c>
      <c r="W21">
        <v>1</v>
      </c>
      <c r="X21">
        <v>0</v>
      </c>
    </row>
    <row r="22">
      <c r="A22" t="str">
        <v>dragon-king-boss</v>
      </c>
      <c r="B22" t="str">
        <v>古龍王(B)</v>
      </c>
      <c r="C22" t="str">
        <v>dragon_king_lair</v>
      </c>
      <c r="D22">
        <v>1</v>
      </c>
      <c r="E22" t="b">
        <v>1</v>
      </c>
      <c r="F22" t="b">
        <v>1</v>
      </c>
      <c r="G22">
        <v>60</v>
      </c>
      <c r="H22">
        <v>90</v>
      </c>
      <c r="I22">
        <v>79</v>
      </c>
      <c r="J22">
        <v>124</v>
      </c>
      <c r="K22">
        <v>74</v>
      </c>
      <c r="L22">
        <v>101</v>
      </c>
      <c r="M22">
        <v>68</v>
      </c>
      <c r="N22">
        <v>2655000</v>
      </c>
      <c r="O22">
        <v>270</v>
      </c>
      <c r="P22">
        <v>55</v>
      </c>
      <c r="Q22">
        <v>184</v>
      </c>
      <c r="R22">
        <v>39.5</v>
      </c>
      <c r="S22">
        <v>100</v>
      </c>
      <c r="T22">
        <v>20</v>
      </c>
      <c r="U22">
        <v>43</v>
      </c>
      <c r="V22">
        <v>1</v>
      </c>
      <c r="W22">
        <v>1</v>
      </c>
      <c r="X22">
        <v>70</v>
      </c>
    </row>
    <row r="23">
      <c r="A23" t="str">
        <v>74093d45-5637-4be8-8755-5ae4693b2974</v>
      </c>
      <c r="B23" t="str">
        <v>飛龍幼崽</v>
      </c>
      <c r="C23" t="str">
        <v>dragon_realm</v>
      </c>
      <c r="D23">
        <v>1</v>
      </c>
      <c r="E23" t="b">
        <v>1</v>
      </c>
      <c r="F23" t="b">
        <v>0</v>
      </c>
      <c r="G23">
        <v>40</v>
      </c>
      <c r="H23">
        <v>42</v>
      </c>
      <c r="I23">
        <v>22</v>
      </c>
      <c r="J23">
        <v>28</v>
      </c>
      <c r="K23">
        <v>8</v>
      </c>
      <c r="L23">
        <v>22</v>
      </c>
      <c r="M23">
        <v>6</v>
      </c>
      <c r="N23">
        <v>12000</v>
      </c>
      <c r="O23">
        <v>126</v>
      </c>
      <c r="P23">
        <v>35</v>
      </c>
      <c r="Q23">
        <v>0</v>
      </c>
      <c r="R23">
        <v>11</v>
      </c>
      <c r="S23">
        <v>100</v>
      </c>
      <c r="T23">
        <v>2</v>
      </c>
      <c r="U23">
        <v>14</v>
      </c>
      <c r="V23">
        <v>0.7799999999999999</v>
      </c>
      <c r="W23">
        <v>1</v>
      </c>
      <c r="X23">
        <v>0</v>
      </c>
    </row>
    <row r="24">
      <c r="A24" t="str">
        <v>293d25c1-a2f9-42f6-8cb9-f94fb87f5d89</v>
      </c>
      <c r="B24" t="str">
        <v>龍蜥武士</v>
      </c>
      <c r="C24" t="str">
        <v>dragon_realm</v>
      </c>
      <c r="D24">
        <v>2</v>
      </c>
      <c r="E24" t="b">
        <v>1</v>
      </c>
      <c r="F24" t="b">
        <v>0</v>
      </c>
      <c r="G24">
        <v>41</v>
      </c>
      <c r="H24">
        <v>46</v>
      </c>
      <c r="I24">
        <v>22</v>
      </c>
      <c r="J24">
        <v>30</v>
      </c>
      <c r="K24">
        <v>6</v>
      </c>
      <c r="L24">
        <v>22</v>
      </c>
      <c r="M24">
        <v>6</v>
      </c>
      <c r="N24">
        <v>13500</v>
      </c>
      <c r="O24">
        <v>138</v>
      </c>
      <c r="P24">
        <v>38</v>
      </c>
      <c r="Q24">
        <v>0</v>
      </c>
      <c r="R24">
        <v>11</v>
      </c>
      <c r="S24">
        <v>100</v>
      </c>
      <c r="T24">
        <v>2</v>
      </c>
      <c r="U24">
        <v>14</v>
      </c>
      <c r="V24">
        <v>0.76</v>
      </c>
      <c r="W24">
        <v>1</v>
      </c>
      <c r="X24">
        <v>0</v>
      </c>
    </row>
    <row r="25">
      <c r="A25" t="str">
        <v>8a9d08be-3fe3-489a-833b-bc7d4d36492d</v>
      </c>
      <c r="B25" t="str">
        <v>火翼龍人</v>
      </c>
      <c r="C25" t="str">
        <v>dragon_realm</v>
      </c>
      <c r="D25">
        <v>3</v>
      </c>
      <c r="E25" t="b">
        <v>1</v>
      </c>
      <c r="F25" t="b">
        <v>0</v>
      </c>
      <c r="G25">
        <v>42</v>
      </c>
      <c r="H25">
        <v>48</v>
      </c>
      <c r="I25">
        <v>24</v>
      </c>
      <c r="J25">
        <v>30</v>
      </c>
      <c r="K25">
        <v>14</v>
      </c>
      <c r="L25">
        <v>24</v>
      </c>
      <c r="M25">
        <v>7</v>
      </c>
      <c r="N25">
        <v>15000</v>
      </c>
      <c r="O25">
        <v>144</v>
      </c>
      <c r="P25">
        <v>38</v>
      </c>
      <c r="Q25">
        <v>0</v>
      </c>
      <c r="R25">
        <v>12</v>
      </c>
      <c r="S25">
        <v>100</v>
      </c>
      <c r="T25">
        <v>2</v>
      </c>
      <c r="U25">
        <v>15</v>
      </c>
      <c r="V25">
        <v>0.84</v>
      </c>
      <c r="W25">
        <v>1</v>
      </c>
      <c r="X25">
        <v>0</v>
      </c>
    </row>
    <row r="26">
      <c r="A26" t="str">
        <v>56755d32-7b31-4156-ad94-30121a3b5cd5</v>
      </c>
      <c r="B26" t="str">
        <v>冰鱗龍人</v>
      </c>
      <c r="C26" t="str">
        <v>dragon_realm</v>
      </c>
      <c r="D26">
        <v>4</v>
      </c>
      <c r="E26" t="b">
        <v>1</v>
      </c>
      <c r="F26" t="b">
        <v>0</v>
      </c>
      <c r="G26">
        <v>43</v>
      </c>
      <c r="H26">
        <v>44</v>
      </c>
      <c r="I26">
        <v>22</v>
      </c>
      <c r="J26">
        <v>38</v>
      </c>
      <c r="K26">
        <v>16</v>
      </c>
      <c r="L26">
        <v>22</v>
      </c>
      <c r="M26">
        <v>7</v>
      </c>
      <c r="N26">
        <v>16500</v>
      </c>
      <c r="O26">
        <v>132</v>
      </c>
      <c r="P26">
        <v>42</v>
      </c>
      <c r="Q26">
        <v>0</v>
      </c>
      <c r="R26">
        <v>11</v>
      </c>
      <c r="S26">
        <v>100</v>
      </c>
      <c r="T26">
        <v>2</v>
      </c>
      <c r="U26">
        <v>14</v>
      </c>
      <c r="V26">
        <v>0.86</v>
      </c>
      <c r="W26">
        <v>1</v>
      </c>
      <c r="X26">
        <v>0</v>
      </c>
    </row>
    <row r="27">
      <c r="A27" t="str">
        <v>8770c62c-7246-4745-873c-ccd0cb53b9f0</v>
      </c>
      <c r="B27" t="str">
        <v>雷霆飛龍</v>
      </c>
      <c r="C27" t="str">
        <v>dragon_realm</v>
      </c>
      <c r="D27">
        <v>5</v>
      </c>
      <c r="E27" t="b">
        <v>1</v>
      </c>
      <c r="F27" t="b">
        <v>0</v>
      </c>
      <c r="G27">
        <v>44</v>
      </c>
      <c r="H27">
        <v>50</v>
      </c>
      <c r="I27">
        <v>28</v>
      </c>
      <c r="J27">
        <v>32</v>
      </c>
      <c r="K27">
        <v>14</v>
      </c>
      <c r="L27">
        <v>26</v>
      </c>
      <c r="M27">
        <v>8</v>
      </c>
      <c r="N27">
        <v>18000</v>
      </c>
      <c r="O27">
        <v>150</v>
      </c>
      <c r="P27">
        <v>40</v>
      </c>
      <c r="Q27">
        <v>0</v>
      </c>
      <c r="R27">
        <v>14</v>
      </c>
      <c r="S27">
        <v>100</v>
      </c>
      <c r="T27">
        <v>2</v>
      </c>
      <c r="U27">
        <v>17</v>
      </c>
      <c r="V27">
        <v>0.84</v>
      </c>
      <c r="W27">
        <v>1</v>
      </c>
      <c r="X27">
        <v>0</v>
      </c>
    </row>
    <row r="28">
      <c r="A28" t="str">
        <v>6da5e948-095e-4f0c-825d-b4cacbf558b9</v>
      </c>
      <c r="B28" t="str">
        <v>黑曜龍騎</v>
      </c>
      <c r="C28" t="str">
        <v>dragon_realm</v>
      </c>
      <c r="D28">
        <v>6</v>
      </c>
      <c r="E28" t="b">
        <v>1</v>
      </c>
      <c r="F28" t="b">
        <v>0</v>
      </c>
      <c r="G28">
        <v>45</v>
      </c>
      <c r="H28">
        <v>56</v>
      </c>
      <c r="I28">
        <v>22</v>
      </c>
      <c r="J28">
        <v>36</v>
      </c>
      <c r="K28">
        <v>8</v>
      </c>
      <c r="L28">
        <v>24</v>
      </c>
      <c r="M28">
        <v>8</v>
      </c>
      <c r="N28">
        <v>20000</v>
      </c>
      <c r="O28">
        <v>168</v>
      </c>
      <c r="P28">
        <v>44</v>
      </c>
      <c r="Q28">
        <v>0</v>
      </c>
      <c r="R28">
        <v>11</v>
      </c>
      <c r="S28">
        <v>100</v>
      </c>
      <c r="T28">
        <v>2</v>
      </c>
      <c r="U28">
        <v>14</v>
      </c>
      <c r="V28">
        <v>0.7799999999999999</v>
      </c>
      <c r="W28">
        <v>1</v>
      </c>
      <c r="X28">
        <v>0</v>
      </c>
    </row>
    <row r="29">
      <c r="A29" t="str">
        <v>ba217b2d-d633-4d35-b777-f98b89ed823f</v>
      </c>
      <c r="B29" t="str">
        <v>黃金幼龍(稀)</v>
      </c>
      <c r="C29" t="str">
        <v>dragon_realm</v>
      </c>
      <c r="D29">
        <v>7</v>
      </c>
      <c r="E29" t="b">
        <v>1</v>
      </c>
      <c r="F29" t="b">
        <v>1</v>
      </c>
      <c r="G29">
        <v>46</v>
      </c>
      <c r="H29">
        <v>40</v>
      </c>
      <c r="I29">
        <v>30</v>
      </c>
      <c r="J29">
        <v>24</v>
      </c>
      <c r="K29">
        <v>10</v>
      </c>
      <c r="L29">
        <v>30</v>
      </c>
      <c r="M29">
        <v>30</v>
      </c>
      <c r="N29">
        <v>10000</v>
      </c>
      <c r="O29">
        <v>120</v>
      </c>
      <c r="P29">
        <v>30</v>
      </c>
      <c r="Q29">
        <v>0</v>
      </c>
      <c r="R29">
        <v>15</v>
      </c>
      <c r="S29">
        <v>100</v>
      </c>
      <c r="T29">
        <v>9</v>
      </c>
      <c r="U29">
        <v>18</v>
      </c>
      <c r="V29">
        <v>0.7999999999999999</v>
      </c>
      <c r="W29">
        <v>1</v>
      </c>
      <c r="X29">
        <v>0</v>
      </c>
    </row>
    <row r="30">
      <c r="A30" t="str">
        <v>e2bac66c-3513-4f02-8739-f13f8b5e01d3</v>
      </c>
      <c r="B30" t="str">
        <v>暗影龍將</v>
      </c>
      <c r="C30" t="str">
        <v>dragon_realm</v>
      </c>
      <c r="D30">
        <v>8</v>
      </c>
      <c r="E30" t="b">
        <v>1</v>
      </c>
      <c r="F30" t="b">
        <v>0</v>
      </c>
      <c r="G30">
        <v>47</v>
      </c>
      <c r="H30">
        <v>58</v>
      </c>
      <c r="I30">
        <v>26</v>
      </c>
      <c r="J30">
        <v>38</v>
      </c>
      <c r="K30">
        <v>12</v>
      </c>
      <c r="L30">
        <v>28</v>
      </c>
      <c r="M30">
        <v>9</v>
      </c>
      <c r="N30">
        <v>23000</v>
      </c>
      <c r="O30">
        <v>174</v>
      </c>
      <c r="P30">
        <v>46</v>
      </c>
      <c r="Q30">
        <v>0</v>
      </c>
      <c r="R30">
        <v>13</v>
      </c>
      <c r="S30">
        <v>100</v>
      </c>
      <c r="T30">
        <v>3</v>
      </c>
      <c r="U30">
        <v>16</v>
      </c>
      <c r="V30">
        <v>0.82</v>
      </c>
      <c r="W30">
        <v>1</v>
      </c>
      <c r="X30">
        <v>0</v>
      </c>
    </row>
    <row r="31">
      <c r="A31" t="str">
        <v>b1f231f4-6fa2-4f00-9528-f4893a726df1</v>
      </c>
      <c r="B31" t="str">
        <v>龍翼魔法師</v>
      </c>
      <c r="C31" t="str">
        <v>dragon_realm</v>
      </c>
      <c r="D31">
        <v>9</v>
      </c>
      <c r="E31" t="b">
        <v>1</v>
      </c>
      <c r="F31" t="b">
        <v>0</v>
      </c>
      <c r="G31">
        <v>48</v>
      </c>
      <c r="H31">
        <v>36</v>
      </c>
      <c r="I31">
        <v>24</v>
      </c>
      <c r="J31">
        <v>32</v>
      </c>
      <c r="K31">
        <v>60</v>
      </c>
      <c r="L31">
        <v>26</v>
      </c>
      <c r="M31">
        <v>8</v>
      </c>
      <c r="N31">
        <v>25000</v>
      </c>
      <c r="O31">
        <v>108</v>
      </c>
      <c r="P31">
        <v>40</v>
      </c>
      <c r="Q31">
        <v>0</v>
      </c>
      <c r="R31">
        <v>12</v>
      </c>
      <c r="S31">
        <v>100</v>
      </c>
      <c r="T31">
        <v>2</v>
      </c>
      <c r="U31">
        <v>15</v>
      </c>
      <c r="V31">
        <v>1</v>
      </c>
      <c r="W31">
        <v>1</v>
      </c>
      <c r="X31">
        <v>0</v>
      </c>
    </row>
    <row r="32">
      <c r="A32" t="str">
        <v>8016a32e-1870-44d8-a6da-2c27e2cbdcc3</v>
      </c>
      <c r="B32" t="str">
        <v>龍王(B)</v>
      </c>
      <c r="C32" t="str">
        <v>dragon_realm</v>
      </c>
      <c r="D32">
        <v>10</v>
      </c>
      <c r="E32" t="b">
        <v>1</v>
      </c>
      <c r="F32" t="b">
        <v>1</v>
      </c>
      <c r="G32">
        <v>50</v>
      </c>
      <c r="H32">
        <v>75</v>
      </c>
      <c r="I32">
        <v>32</v>
      </c>
      <c r="J32">
        <v>60</v>
      </c>
      <c r="K32">
        <v>30</v>
      </c>
      <c r="L32">
        <v>32</v>
      </c>
      <c r="M32">
        <v>14</v>
      </c>
      <c r="N32">
        <v>100000</v>
      </c>
      <c r="O32">
        <v>225</v>
      </c>
      <c r="P32">
        <v>60</v>
      </c>
      <c r="Q32">
        <v>0</v>
      </c>
      <c r="R32">
        <v>16</v>
      </c>
      <c r="S32">
        <v>100</v>
      </c>
      <c r="T32">
        <v>4</v>
      </c>
      <c r="U32">
        <v>19</v>
      </c>
      <c r="V32">
        <v>1</v>
      </c>
      <c r="W32">
        <v>1</v>
      </c>
      <c r="X32">
        <v>0</v>
      </c>
    </row>
    <row r="33">
      <c r="A33" t="str">
        <v>elite-daishi-king</v>
      </c>
      <c r="B33" t="str">
        <v>大史王</v>
      </c>
      <c r="C33" t="str">
        <v>elite</v>
      </c>
      <c r="D33">
        <v>1</v>
      </c>
      <c r="E33" t="b">
        <v>1</v>
      </c>
      <c r="F33" t="b">
        <v>1</v>
      </c>
      <c r="G33">
        <v>55</v>
      </c>
      <c r="H33">
        <v>68</v>
      </c>
      <c r="I33">
        <v>53</v>
      </c>
      <c r="J33">
        <v>83</v>
      </c>
      <c r="K33">
        <v>50</v>
      </c>
      <c r="L33">
        <v>68</v>
      </c>
      <c r="M33">
        <v>45</v>
      </c>
      <c r="N33">
        <v>1770000</v>
      </c>
      <c r="O33">
        <v>204</v>
      </c>
      <c r="P33">
        <v>40</v>
      </c>
      <c r="Q33">
        <v>138</v>
      </c>
      <c r="R33">
        <v>26.5</v>
      </c>
      <c r="S33">
        <v>100</v>
      </c>
      <c r="T33">
        <v>14</v>
      </c>
      <c r="U33">
        <v>30</v>
      </c>
      <c r="V33">
        <v>1</v>
      </c>
      <c r="W33">
        <v>1</v>
      </c>
      <c r="X33">
        <v>70</v>
      </c>
    </row>
    <row r="34">
      <c r="A34" t="str">
        <v>657afc88-c6db-4851-8c4c-50f225b18624</v>
      </c>
      <c r="B34" t="str">
        <v>甲蟹</v>
      </c>
      <c r="C34" t="str">
        <v>mid</v>
      </c>
      <c r="D34">
        <v>1</v>
      </c>
      <c r="E34" t="b">
        <v>1</v>
      </c>
      <c r="F34" t="b">
        <v>0</v>
      </c>
      <c r="G34">
        <v>14</v>
      </c>
      <c r="H34">
        <v>13</v>
      </c>
      <c r="I34">
        <v>4</v>
      </c>
      <c r="J34">
        <v>14</v>
      </c>
      <c r="K34">
        <v>1</v>
      </c>
      <c r="L34">
        <v>4</v>
      </c>
      <c r="M34">
        <v>2</v>
      </c>
      <c r="N34">
        <v>2700</v>
      </c>
      <c r="O34">
        <v>39</v>
      </c>
      <c r="P34">
        <v>50</v>
      </c>
      <c r="Q34">
        <v>28</v>
      </c>
      <c r="R34">
        <v>2</v>
      </c>
      <c r="S34">
        <v>84</v>
      </c>
      <c r="T34">
        <v>1</v>
      </c>
      <c r="U34">
        <v>5</v>
      </c>
      <c r="V34">
        <v>0.71</v>
      </c>
      <c r="W34">
        <v>1</v>
      </c>
      <c r="X34">
        <v>20</v>
      </c>
    </row>
    <row r="35">
      <c r="A35" t="str">
        <v>13f56b92-709e-42ff-87d2-e8f129ed9207</v>
      </c>
      <c r="B35" t="str">
        <v>牙牙狼</v>
      </c>
      <c r="C35" t="str">
        <v>mid</v>
      </c>
      <c r="D35">
        <v>2</v>
      </c>
      <c r="E35" t="b">
        <v>1</v>
      </c>
      <c r="F35" t="b">
        <v>0</v>
      </c>
      <c r="G35">
        <v>13</v>
      </c>
      <c r="H35">
        <v>10</v>
      </c>
      <c r="I35">
        <v>30</v>
      </c>
      <c r="J35">
        <v>8</v>
      </c>
      <c r="K35">
        <v>1</v>
      </c>
      <c r="L35">
        <v>22</v>
      </c>
      <c r="M35">
        <v>6</v>
      </c>
      <c r="N35">
        <v>2400</v>
      </c>
      <c r="O35">
        <v>30</v>
      </c>
      <c r="P35">
        <v>35</v>
      </c>
      <c r="Q35">
        <v>21</v>
      </c>
      <c r="R35">
        <v>15</v>
      </c>
      <c r="S35">
        <v>100</v>
      </c>
      <c r="T35">
        <v>2</v>
      </c>
      <c r="U35">
        <v>18</v>
      </c>
      <c r="V35">
        <v>0.71</v>
      </c>
      <c r="W35">
        <v>1</v>
      </c>
      <c r="X35">
        <v>20</v>
      </c>
    </row>
    <row r="36">
      <c r="A36" t="str">
        <v>b9c226a8-ea33-41de-9c9b-be24824a9fb1</v>
      </c>
      <c r="B36" t="str">
        <v>巨巨</v>
      </c>
      <c r="C36" t="str">
        <v>mid</v>
      </c>
      <c r="D36">
        <v>3</v>
      </c>
      <c r="E36" t="b">
        <v>1</v>
      </c>
      <c r="F36" t="b">
        <v>0</v>
      </c>
      <c r="G36">
        <v>16</v>
      </c>
      <c r="H36">
        <v>20</v>
      </c>
      <c r="I36">
        <v>3</v>
      </c>
      <c r="J36">
        <v>18</v>
      </c>
      <c r="K36">
        <v>1</v>
      </c>
      <c r="L36">
        <v>3</v>
      </c>
      <c r="M36">
        <v>1</v>
      </c>
      <c r="N36">
        <v>3100</v>
      </c>
      <c r="O36">
        <v>60</v>
      </c>
      <c r="P36">
        <v>58</v>
      </c>
      <c r="Q36">
        <v>34</v>
      </c>
      <c r="R36">
        <v>1.5</v>
      </c>
      <c r="S36">
        <v>83</v>
      </c>
      <c r="T36">
        <v>0</v>
      </c>
      <c r="U36">
        <v>5</v>
      </c>
      <c r="V36">
        <v>0.71</v>
      </c>
      <c r="W36">
        <v>1</v>
      </c>
      <c r="X36">
        <v>20</v>
      </c>
    </row>
    <row r="37">
      <c r="A37" t="str">
        <v>f4bed595-74f8-493b-8551-9158f4b5381d</v>
      </c>
      <c r="B37" t="str">
        <v>黑暗弓手</v>
      </c>
      <c r="C37" t="str">
        <v>mid</v>
      </c>
      <c r="D37">
        <v>4</v>
      </c>
      <c r="E37" t="b">
        <v>1</v>
      </c>
      <c r="F37" t="b">
        <v>0</v>
      </c>
      <c r="G37">
        <v>16</v>
      </c>
      <c r="H37">
        <v>12</v>
      </c>
      <c r="I37">
        <v>20</v>
      </c>
      <c r="J37">
        <v>8</v>
      </c>
      <c r="K37">
        <v>4</v>
      </c>
      <c r="L37">
        <v>30</v>
      </c>
      <c r="M37">
        <v>6</v>
      </c>
      <c r="N37">
        <v>2800</v>
      </c>
      <c r="O37">
        <v>36</v>
      </c>
      <c r="P37">
        <v>42</v>
      </c>
      <c r="Q37">
        <v>24</v>
      </c>
      <c r="R37">
        <v>10</v>
      </c>
      <c r="S37">
        <v>100</v>
      </c>
      <c r="T37">
        <v>2</v>
      </c>
      <c r="U37">
        <v>13</v>
      </c>
      <c r="V37">
        <v>0.74</v>
      </c>
      <c r="W37">
        <v>1</v>
      </c>
      <c r="X37">
        <v>20</v>
      </c>
    </row>
    <row r="38">
      <c r="A38" t="str">
        <v>517f9a27-f6f7-4251-8cf8-2140f02222c0</v>
      </c>
      <c r="B38" t="str">
        <v>米拉桑(B)</v>
      </c>
      <c r="C38" t="str">
        <v>mid</v>
      </c>
      <c r="D38">
        <v>5</v>
      </c>
      <c r="E38" t="b">
        <v>1</v>
      </c>
      <c r="F38" t="b">
        <v>1</v>
      </c>
      <c r="G38">
        <v>19</v>
      </c>
      <c r="H38">
        <v>18</v>
      </c>
      <c r="I38">
        <v>22</v>
      </c>
      <c r="J38">
        <v>18</v>
      </c>
      <c r="K38">
        <v>8</v>
      </c>
      <c r="L38">
        <v>18</v>
      </c>
      <c r="M38">
        <v>10</v>
      </c>
      <c r="N38">
        <v>10000</v>
      </c>
      <c r="O38">
        <v>54</v>
      </c>
      <c r="P38">
        <v>60</v>
      </c>
      <c r="Q38">
        <v>37</v>
      </c>
      <c r="R38">
        <v>11</v>
      </c>
      <c r="S38">
        <v>98</v>
      </c>
      <c r="T38">
        <v>3</v>
      </c>
      <c r="U38">
        <v>14</v>
      </c>
      <c r="V38">
        <v>0.7799999999999999</v>
      </c>
      <c r="W38">
        <v>1</v>
      </c>
      <c r="X38">
        <v>35</v>
      </c>
    </row>
    <row r="39">
      <c r="A39" t="str">
        <v>3065b7ca-8839-4be4-9d02-0821932cd408</v>
      </c>
      <c r="B39" t="str">
        <v>中金(稀)</v>
      </c>
      <c r="C39" t="str">
        <v>mid</v>
      </c>
      <c r="D39">
        <v>6</v>
      </c>
      <c r="E39" t="b">
        <v>1</v>
      </c>
      <c r="F39" t="b">
        <v>1</v>
      </c>
      <c r="G39">
        <v>18</v>
      </c>
      <c r="H39">
        <v>30</v>
      </c>
      <c r="I39">
        <v>62</v>
      </c>
      <c r="J39">
        <v>3</v>
      </c>
      <c r="K39">
        <v>8</v>
      </c>
      <c r="L39">
        <v>25</v>
      </c>
      <c r="M39">
        <v>5</v>
      </c>
      <c r="N39">
        <v>8000</v>
      </c>
      <c r="O39">
        <v>90</v>
      </c>
      <c r="P39">
        <v>10</v>
      </c>
      <c r="Q39">
        <v>21</v>
      </c>
      <c r="R39">
        <v>31</v>
      </c>
      <c r="S39">
        <v>100</v>
      </c>
      <c r="T39">
        <v>2</v>
      </c>
      <c r="U39">
        <v>34</v>
      </c>
      <c r="V39">
        <v>0.7799999999999999</v>
      </c>
      <c r="W39">
        <v>1</v>
      </c>
      <c r="X39">
        <v>35</v>
      </c>
    </row>
    <row r="40">
      <c r="A40" t="str">
        <v>343c18ce-9f87-4532-bbb4-618a64fe5559</v>
      </c>
      <c r="B40" t="str">
        <v>林地妖靈(樹樹)</v>
      </c>
      <c r="C40" t="str">
        <v>mid</v>
      </c>
      <c r="D40">
        <v>106</v>
      </c>
      <c r="E40" t="b">
        <v>1</v>
      </c>
      <c r="F40" t="b">
        <v>0</v>
      </c>
      <c r="G40">
        <v>11</v>
      </c>
      <c r="H40">
        <v>14</v>
      </c>
      <c r="I40">
        <v>10</v>
      </c>
      <c r="J40">
        <v>7</v>
      </c>
      <c r="K40">
        <v>9</v>
      </c>
      <c r="L40">
        <v>11</v>
      </c>
      <c r="M40">
        <v>5</v>
      </c>
      <c r="N40">
        <v>2100</v>
      </c>
      <c r="O40">
        <v>42</v>
      </c>
      <c r="P40">
        <v>18</v>
      </c>
      <c r="Q40">
        <v>18</v>
      </c>
      <c r="R40">
        <v>5</v>
      </c>
      <c r="S40">
        <v>91</v>
      </c>
      <c r="T40">
        <v>2</v>
      </c>
      <c r="U40">
        <v>8</v>
      </c>
      <c r="V40">
        <v>0.7899999999999999</v>
      </c>
      <c r="W40">
        <v>1</v>
      </c>
      <c r="X40">
        <v>20</v>
      </c>
    </row>
    <row r="41">
      <c r="A41" t="str">
        <v>9f0c5372-7232-4c6f-8083-409a28b1b374</v>
      </c>
      <c r="B41" t="str">
        <v>森林古樹</v>
      </c>
      <c r="C41" t="str">
        <v>mid</v>
      </c>
      <c r="D41">
        <v>107</v>
      </c>
      <c r="E41" t="b">
        <v>1</v>
      </c>
      <c r="F41" t="b">
        <v>0</v>
      </c>
      <c r="G41">
        <v>12</v>
      </c>
      <c r="H41">
        <v>13</v>
      </c>
      <c r="I41">
        <v>6</v>
      </c>
      <c r="J41">
        <v>14</v>
      </c>
      <c r="K41">
        <v>11</v>
      </c>
      <c r="L41">
        <v>7</v>
      </c>
      <c r="M41">
        <v>4</v>
      </c>
      <c r="N41">
        <v>2500</v>
      </c>
      <c r="O41">
        <v>39</v>
      </c>
      <c r="P41">
        <v>28</v>
      </c>
      <c r="Q41">
        <v>26</v>
      </c>
      <c r="R41">
        <v>3</v>
      </c>
      <c r="S41">
        <v>87</v>
      </c>
      <c r="T41">
        <v>1</v>
      </c>
      <c r="U41">
        <v>6</v>
      </c>
      <c r="V41">
        <v>0.8099999999999999</v>
      </c>
      <c r="W41">
        <v>1</v>
      </c>
      <c r="X41">
        <v>20</v>
      </c>
    </row>
    <row r="42">
      <c r="A42" t="str">
        <v>eb0322bc-a90a-4a89-ad57-8a9c5607e6b8</v>
      </c>
      <c r="B42" t="str">
        <v>暗夜獵豹</v>
      </c>
      <c r="C42" t="str">
        <v>mid</v>
      </c>
      <c r="D42">
        <v>108</v>
      </c>
      <c r="E42" t="b">
        <v>1</v>
      </c>
      <c r="F42" t="b">
        <v>0</v>
      </c>
      <c r="G42">
        <v>10</v>
      </c>
      <c r="H42">
        <v>14</v>
      </c>
      <c r="I42">
        <v>12</v>
      </c>
      <c r="J42">
        <v>8</v>
      </c>
      <c r="K42">
        <v>7</v>
      </c>
      <c r="L42">
        <v>13</v>
      </c>
      <c r="M42">
        <v>6</v>
      </c>
      <c r="N42">
        <v>2000</v>
      </c>
      <c r="O42">
        <v>42</v>
      </c>
      <c r="P42">
        <v>15</v>
      </c>
      <c r="Q42">
        <v>18</v>
      </c>
      <c r="R42">
        <v>6</v>
      </c>
      <c r="S42">
        <v>93</v>
      </c>
      <c r="T42">
        <v>2</v>
      </c>
      <c r="U42">
        <v>9</v>
      </c>
      <c r="V42">
        <v>0.77</v>
      </c>
      <c r="W42">
        <v>1</v>
      </c>
      <c r="X42">
        <v>20</v>
      </c>
    </row>
    <row r="43">
      <c r="A43" t="str">
        <v>f6145411-1a2e-4919-9ee4-fe27b3a31c07</v>
      </c>
      <c r="B43" t="str">
        <v>森林巫師</v>
      </c>
      <c r="C43" t="str">
        <v>mid</v>
      </c>
      <c r="D43">
        <v>109</v>
      </c>
      <c r="E43" t="b">
        <v>1</v>
      </c>
      <c r="F43" t="b">
        <v>0</v>
      </c>
      <c r="G43">
        <v>13</v>
      </c>
      <c r="H43">
        <v>12</v>
      </c>
      <c r="I43">
        <v>8</v>
      </c>
      <c r="J43">
        <v>9</v>
      </c>
      <c r="K43">
        <v>15</v>
      </c>
      <c r="L43">
        <v>10</v>
      </c>
      <c r="M43">
        <v>8</v>
      </c>
      <c r="N43">
        <v>2400</v>
      </c>
      <c r="O43">
        <v>36</v>
      </c>
      <c r="P43">
        <v>20</v>
      </c>
      <c r="Q43">
        <v>22</v>
      </c>
      <c r="R43">
        <v>4</v>
      </c>
      <c r="S43">
        <v>90</v>
      </c>
      <c r="T43">
        <v>2</v>
      </c>
      <c r="U43">
        <v>7</v>
      </c>
      <c r="V43">
        <v>0.85</v>
      </c>
      <c r="W43">
        <v>1</v>
      </c>
      <c r="X43">
        <v>20</v>
      </c>
    </row>
    <row r="44">
      <c r="A44" t="str">
        <v>5247b1b0-6bc0-4db3-8ffd-aacb755c64fb</v>
      </c>
      <c r="B44" t="str">
        <v>森林盜賊</v>
      </c>
      <c r="C44" t="str">
        <v>mid</v>
      </c>
      <c r="D44">
        <v>110</v>
      </c>
      <c r="E44" t="b">
        <v>1</v>
      </c>
      <c r="F44" t="b">
        <v>0</v>
      </c>
      <c r="G44">
        <v>12</v>
      </c>
      <c r="H44">
        <v>13</v>
      </c>
      <c r="I44">
        <v>14</v>
      </c>
      <c r="J44">
        <v>7</v>
      </c>
      <c r="K44">
        <v>8</v>
      </c>
      <c r="L44">
        <v>15</v>
      </c>
      <c r="M44">
        <v>7</v>
      </c>
      <c r="N44">
        <v>2300</v>
      </c>
      <c r="O44">
        <v>39</v>
      </c>
      <c r="P44">
        <v>16</v>
      </c>
      <c r="Q44">
        <v>19</v>
      </c>
      <c r="R44">
        <v>7</v>
      </c>
      <c r="S44">
        <v>95</v>
      </c>
      <c r="T44">
        <v>2</v>
      </c>
      <c r="U44">
        <v>10</v>
      </c>
      <c r="V44">
        <v>0.7799999999999999</v>
      </c>
      <c r="W44">
        <v>1</v>
      </c>
      <c r="X44">
        <v>20</v>
      </c>
    </row>
    <row r="45">
      <c r="A45" t="str">
        <v>21fb614f-7f8b-4aad-b248-9418d8cbd8c0</v>
      </c>
      <c r="B45" t="str">
        <v>森林之獸</v>
      </c>
      <c r="C45" t="str">
        <v>mid</v>
      </c>
      <c r="D45">
        <v>111</v>
      </c>
      <c r="E45" t="b">
        <v>1</v>
      </c>
      <c r="F45" t="b">
        <v>0</v>
      </c>
      <c r="G45">
        <v>15</v>
      </c>
      <c r="H45">
        <v>21</v>
      </c>
      <c r="I45">
        <v>11</v>
      </c>
      <c r="J45">
        <v>15</v>
      </c>
      <c r="K45">
        <v>12</v>
      </c>
      <c r="L45">
        <v>12</v>
      </c>
      <c r="M45">
        <v>6</v>
      </c>
      <c r="N45">
        <v>2900</v>
      </c>
      <c r="O45">
        <v>63</v>
      </c>
      <c r="P45">
        <v>30</v>
      </c>
      <c r="Q45">
        <v>30</v>
      </c>
      <c r="R45">
        <v>5.5</v>
      </c>
      <c r="S45">
        <v>92</v>
      </c>
      <c r="T45">
        <v>2</v>
      </c>
      <c r="U45">
        <v>9</v>
      </c>
      <c r="V45">
        <v>0.82</v>
      </c>
      <c r="W45">
        <v>1</v>
      </c>
      <c r="X45">
        <v>20</v>
      </c>
    </row>
    <row r="46">
      <c r="A46" t="str">
        <v>c39bdddd-a33d-4e34-8019-d17020a8083b</v>
      </c>
      <c r="B46" t="str">
        <v>小史</v>
      </c>
      <c r="C46" t="str">
        <v>normal</v>
      </c>
      <c r="D46">
        <v>1</v>
      </c>
      <c r="E46" t="b">
        <v>1</v>
      </c>
      <c r="F46" t="b">
        <v>0</v>
      </c>
      <c r="G46">
        <v>4</v>
      </c>
      <c r="H46">
        <v>3</v>
      </c>
      <c r="I46">
        <v>3</v>
      </c>
      <c r="J46">
        <v>3</v>
      </c>
      <c r="K46">
        <v>1</v>
      </c>
      <c r="L46">
        <v>3</v>
      </c>
      <c r="M46">
        <v>1</v>
      </c>
      <c r="N46">
        <v>500</v>
      </c>
      <c r="O46">
        <v>9</v>
      </c>
      <c r="P46">
        <v>10</v>
      </c>
      <c r="Q46">
        <v>0</v>
      </c>
      <c r="R46">
        <v>1.5</v>
      </c>
      <c r="S46">
        <v>83</v>
      </c>
      <c r="T46">
        <v>0</v>
      </c>
      <c r="U46">
        <v>5</v>
      </c>
      <c r="V46">
        <v>0.71</v>
      </c>
      <c r="W46">
        <v>1</v>
      </c>
      <c r="X46">
        <v>0</v>
      </c>
    </row>
    <row r="47">
      <c r="A47" t="str">
        <v>f00fd7b1-9f57-4532-9901-f4d4d74f132d</v>
      </c>
      <c r="B47" t="str">
        <v>哥布</v>
      </c>
      <c r="C47" t="str">
        <v>normal</v>
      </c>
      <c r="D47">
        <v>2</v>
      </c>
      <c r="E47" t="b">
        <v>1</v>
      </c>
      <c r="F47" t="b">
        <v>0</v>
      </c>
      <c r="G47">
        <v>5</v>
      </c>
      <c r="H47">
        <v>3</v>
      </c>
      <c r="I47">
        <v>4</v>
      </c>
      <c r="J47">
        <v>4</v>
      </c>
      <c r="K47">
        <v>1</v>
      </c>
      <c r="L47">
        <v>4</v>
      </c>
      <c r="M47">
        <v>1</v>
      </c>
      <c r="N47">
        <v>700</v>
      </c>
      <c r="O47">
        <v>9</v>
      </c>
      <c r="P47">
        <v>15</v>
      </c>
      <c r="Q47">
        <v>0</v>
      </c>
      <c r="R47">
        <v>2</v>
      </c>
      <c r="S47">
        <v>84</v>
      </c>
      <c r="T47">
        <v>0</v>
      </c>
      <c r="U47">
        <v>5</v>
      </c>
      <c r="V47">
        <v>0.71</v>
      </c>
      <c r="W47">
        <v>1</v>
      </c>
      <c r="X47">
        <v>0</v>
      </c>
    </row>
    <row r="48">
      <c r="A48" t="str">
        <v>a8ef443e-3a0d-4ccb-9290-d6394edaa59f</v>
      </c>
      <c r="B48" t="str">
        <v>小狼</v>
      </c>
      <c r="C48" t="str">
        <v>normal</v>
      </c>
      <c r="D48">
        <v>3</v>
      </c>
      <c r="E48" t="b">
        <v>1</v>
      </c>
      <c r="F48" t="b">
        <v>0</v>
      </c>
      <c r="G48">
        <v>5</v>
      </c>
      <c r="H48">
        <v>5</v>
      </c>
      <c r="I48">
        <v>18</v>
      </c>
      <c r="J48">
        <v>3</v>
      </c>
      <c r="K48">
        <v>1</v>
      </c>
      <c r="L48">
        <v>8</v>
      </c>
      <c r="M48">
        <v>2</v>
      </c>
      <c r="N48">
        <v>600</v>
      </c>
      <c r="O48">
        <v>15</v>
      </c>
      <c r="P48">
        <v>13</v>
      </c>
      <c r="Q48">
        <v>0</v>
      </c>
      <c r="R48">
        <v>9</v>
      </c>
      <c r="S48">
        <v>88</v>
      </c>
      <c r="T48">
        <v>1</v>
      </c>
      <c r="U48">
        <v>12</v>
      </c>
      <c r="V48">
        <v>0.71</v>
      </c>
      <c r="W48">
        <v>1</v>
      </c>
      <c r="X48">
        <v>0</v>
      </c>
    </row>
    <row r="49">
      <c r="A49" t="str">
        <v>2d226eea-934a-4787-8ff7-9f19d12ac590</v>
      </c>
      <c r="B49" t="str">
        <v>石頭</v>
      </c>
      <c r="C49" t="str">
        <v>normal</v>
      </c>
      <c r="D49">
        <v>4</v>
      </c>
      <c r="E49" t="b">
        <v>1</v>
      </c>
      <c r="F49" t="b">
        <v>0</v>
      </c>
      <c r="G49">
        <v>6</v>
      </c>
      <c r="H49">
        <v>1</v>
      </c>
      <c r="I49">
        <v>2</v>
      </c>
      <c r="J49">
        <v>6</v>
      </c>
      <c r="K49">
        <v>1</v>
      </c>
      <c r="L49">
        <v>2</v>
      </c>
      <c r="M49">
        <v>1</v>
      </c>
      <c r="N49">
        <v>1200</v>
      </c>
      <c r="O49">
        <v>3</v>
      </c>
      <c r="P49">
        <v>25</v>
      </c>
      <c r="Q49">
        <v>0</v>
      </c>
      <c r="R49">
        <v>1</v>
      </c>
      <c r="S49">
        <v>82</v>
      </c>
      <c r="T49">
        <v>0</v>
      </c>
      <c r="U49">
        <v>4</v>
      </c>
      <c r="V49">
        <v>0.71</v>
      </c>
      <c r="W49">
        <v>1</v>
      </c>
      <c r="X49">
        <v>0</v>
      </c>
    </row>
    <row r="50">
      <c r="A50" t="str">
        <v>321a08e9-8fed-4a80-9526-b1f977fd9103</v>
      </c>
      <c r="B50" t="str">
        <v>大史(B)</v>
      </c>
      <c r="C50" t="str">
        <v>normal</v>
      </c>
      <c r="D50">
        <v>5</v>
      </c>
      <c r="E50" t="b">
        <v>1</v>
      </c>
      <c r="F50" t="b">
        <v>1</v>
      </c>
      <c r="G50">
        <v>9</v>
      </c>
      <c r="H50">
        <v>12</v>
      </c>
      <c r="I50">
        <v>12</v>
      </c>
      <c r="J50">
        <v>8</v>
      </c>
      <c r="K50">
        <v>2</v>
      </c>
      <c r="L50">
        <v>8</v>
      </c>
      <c r="M50">
        <v>2</v>
      </c>
      <c r="N50">
        <v>3500</v>
      </c>
      <c r="O50">
        <v>36</v>
      </c>
      <c r="P50">
        <v>35</v>
      </c>
      <c r="Q50">
        <v>0</v>
      </c>
      <c r="R50">
        <v>6</v>
      </c>
      <c r="S50">
        <v>88</v>
      </c>
      <c r="T50">
        <v>1</v>
      </c>
      <c r="U50">
        <v>9</v>
      </c>
      <c r="V50">
        <v>0.72</v>
      </c>
      <c r="W50">
        <v>1</v>
      </c>
      <c r="X50">
        <v>0</v>
      </c>
    </row>
    <row r="51">
      <c r="A51" t="str">
        <v>03c93103-eddb-4265-96ca-a8a76bb82a02</v>
      </c>
      <c r="B51" t="str">
        <v>小金(稀)</v>
      </c>
      <c r="C51" t="str">
        <v>normal</v>
      </c>
      <c r="D51">
        <v>6</v>
      </c>
      <c r="E51" t="b">
        <v>1</v>
      </c>
      <c r="F51" t="b">
        <v>1</v>
      </c>
      <c r="G51">
        <v>8</v>
      </c>
      <c r="H51">
        <v>20</v>
      </c>
      <c r="I51">
        <v>80</v>
      </c>
      <c r="J51">
        <v>5</v>
      </c>
      <c r="K51">
        <v>3</v>
      </c>
      <c r="L51">
        <v>15</v>
      </c>
      <c r="M51">
        <v>8</v>
      </c>
      <c r="N51">
        <v>1200</v>
      </c>
      <c r="O51">
        <v>60</v>
      </c>
      <c r="P51">
        <v>10</v>
      </c>
      <c r="Q51">
        <v>0</v>
      </c>
      <c r="R51">
        <v>40</v>
      </c>
      <c r="S51">
        <v>95</v>
      </c>
      <c r="T51">
        <v>2</v>
      </c>
      <c r="U51">
        <v>43</v>
      </c>
      <c r="V51">
        <v>0.73</v>
      </c>
      <c r="W51">
        <v>1</v>
      </c>
      <c r="X51">
        <v>0</v>
      </c>
    </row>
    <row r="52">
      <c r="A52" t="str">
        <v>6f321e26-e74e-4a05-a55a-6145da53373d</v>
      </c>
      <c r="B52" t="str">
        <v>青草地精</v>
      </c>
      <c r="C52" t="str">
        <v>normal</v>
      </c>
      <c r="D52">
        <v>100</v>
      </c>
      <c r="E52" t="b">
        <v>1</v>
      </c>
      <c r="F52" t="b">
        <v>0</v>
      </c>
      <c r="G52">
        <v>6</v>
      </c>
      <c r="H52">
        <v>6</v>
      </c>
      <c r="I52">
        <v>6</v>
      </c>
      <c r="J52">
        <v>5</v>
      </c>
      <c r="K52">
        <v>3</v>
      </c>
      <c r="L52">
        <v>7</v>
      </c>
      <c r="M52">
        <v>4</v>
      </c>
      <c r="N52">
        <v>600</v>
      </c>
      <c r="O52">
        <v>18</v>
      </c>
      <c r="P52">
        <v>15</v>
      </c>
      <c r="Q52">
        <v>0</v>
      </c>
      <c r="R52">
        <v>3</v>
      </c>
      <c r="S52">
        <v>87</v>
      </c>
      <c r="T52">
        <v>1</v>
      </c>
      <c r="U52">
        <v>6</v>
      </c>
      <c r="V52">
        <v>0.73</v>
      </c>
      <c r="W52">
        <v>1</v>
      </c>
      <c r="X52">
        <v>0</v>
      </c>
    </row>
    <row r="53">
      <c r="A53" t="str">
        <v>a1ab762c-cd0b-4270-994b-74b68c242840</v>
      </c>
      <c r="B53" t="str">
        <v>綠野狼</v>
      </c>
      <c r="C53" t="str">
        <v>normal</v>
      </c>
      <c r="D53">
        <v>101</v>
      </c>
      <c r="E53" t="b">
        <v>1</v>
      </c>
      <c r="F53" t="b">
        <v>0</v>
      </c>
      <c r="G53">
        <v>7</v>
      </c>
      <c r="H53">
        <v>6</v>
      </c>
      <c r="I53">
        <v>8</v>
      </c>
      <c r="J53">
        <v>6</v>
      </c>
      <c r="K53">
        <v>4</v>
      </c>
      <c r="L53">
        <v>9</v>
      </c>
      <c r="M53">
        <v>3</v>
      </c>
      <c r="N53">
        <v>900</v>
      </c>
      <c r="O53">
        <v>18</v>
      </c>
      <c r="P53">
        <v>12</v>
      </c>
      <c r="Q53">
        <v>0</v>
      </c>
      <c r="R53">
        <v>4</v>
      </c>
      <c r="S53">
        <v>89</v>
      </c>
      <c r="T53">
        <v>1</v>
      </c>
      <c r="U53">
        <v>7</v>
      </c>
      <c r="V53">
        <v>0.74</v>
      </c>
      <c r="W53">
        <v>1</v>
      </c>
      <c r="X53">
        <v>0</v>
      </c>
    </row>
  </sheetData>
  <ignoredErrors>
    <ignoredError numberStoredAsText="1" sqref="A1:X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8.83203125" customWidth="1"/>
    <col min="8" max="8" width="16.83203125" customWidth="1"/>
    <col min="9" max="9" width="16.83203125" customWidth="1"/>
  </cols>
  <sheetData>
    <row r="1">
      <c r="A1" t="str">
        <v>bossKey</v>
      </c>
      <c r="B1" t="str">
        <v>phase</v>
      </c>
      <c r="C1" t="str">
        <v>hpBelowPercent</v>
      </c>
      <c r="D1" t="str">
        <v>atkMultiplier</v>
      </c>
      <c r="E1" t="str">
        <v>defMultiplier</v>
      </c>
      <c r="F1" t="str">
        <v>agiBonus</v>
      </c>
      <c r="G1" t="str">
        <v>note</v>
      </c>
      <c r="H1" t="str">
        <v>lightningHitChance</v>
      </c>
      <c r="I1" t="str">
        <v>lightningDamagePct</v>
      </c>
    </row>
    <row r="2">
      <c r="A2" t="str">
        <v>default</v>
      </c>
      <c r="B2">
        <v>1</v>
      </c>
      <c r="C2">
        <v>70</v>
      </c>
      <c r="D2">
        <v>1</v>
      </c>
      <c r="E2">
        <v>1</v>
      </c>
      <c r="F2">
        <v>0</v>
      </c>
      <c r="G2" t="str">
        <v>第一階段</v>
      </c>
      <c r="H2">
        <v>20</v>
      </c>
      <c r="I2">
        <v>25</v>
      </c>
    </row>
    <row r="3">
      <c r="A3" t="str">
        <v>default</v>
      </c>
      <c r="B3">
        <v>2</v>
      </c>
      <c r="C3">
        <v>40</v>
      </c>
      <c r="D3">
        <v>1.2</v>
      </c>
      <c r="E3">
        <v>1.1</v>
      </c>
      <c r="F3">
        <v>0</v>
      </c>
      <c r="G3" t="str">
        <v>第二階段</v>
      </c>
      <c r="H3">
        <v>20</v>
      </c>
      <c r="I3">
        <v>25</v>
      </c>
    </row>
    <row r="4">
      <c r="A4" t="str">
        <v>default</v>
      </c>
      <c r="B4">
        <v>3</v>
      </c>
      <c r="C4">
        <v>0</v>
      </c>
      <c r="D4">
        <v>1.4</v>
      </c>
      <c r="E4">
        <v>1.2</v>
      </c>
      <c r="F4">
        <v>35</v>
      </c>
      <c r="G4" t="str">
        <v>第三階段</v>
      </c>
      <c r="H4">
        <v>20</v>
      </c>
      <c r="I4">
        <v>25</v>
      </c>
    </row>
    <row r="5">
      <c r="A5" t="str">
        <v>dragon_king</v>
      </c>
      <c r="B5">
        <v>1</v>
      </c>
      <c r="C5">
        <v>70</v>
      </c>
      <c r="D5">
        <v>1</v>
      </c>
      <c r="E5">
        <v>1</v>
      </c>
      <c r="F5">
        <v>0</v>
      </c>
      <c r="G5" t="str">
        <v>第一階段</v>
      </c>
      <c r="H5">
        <v>20</v>
      </c>
      <c r="I5">
        <v>25</v>
      </c>
    </row>
    <row r="6">
      <c r="A6" t="str">
        <v>dragon_king</v>
      </c>
      <c r="B6">
        <v>2</v>
      </c>
      <c r="C6">
        <v>40</v>
      </c>
      <c r="D6">
        <v>1.2</v>
      </c>
      <c r="E6">
        <v>1.1</v>
      </c>
      <c r="F6">
        <v>0</v>
      </c>
      <c r="G6" t="str">
        <v>第二階段</v>
      </c>
      <c r="H6">
        <v>20</v>
      </c>
      <c r="I6">
        <v>25</v>
      </c>
    </row>
    <row r="7">
      <c r="A7" t="str">
        <v>dragon_king</v>
      </c>
      <c r="B7">
        <v>3</v>
      </c>
      <c r="C7">
        <v>0</v>
      </c>
      <c r="D7">
        <v>1.4</v>
      </c>
      <c r="E7">
        <v>1.2</v>
      </c>
      <c r="F7">
        <v>35</v>
      </c>
      <c r="G7" t="str">
        <v>第三階段</v>
      </c>
      <c r="H7">
        <v>20</v>
      </c>
      <c r="I7">
        <v>25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cols>
    <col min="1" max="1" width="22.83203125" customWidth="1"/>
    <col min="2" max="2" width="18.83203125" customWidth="1"/>
    <col min="3" max="3" width="64.83203125" customWidth="1"/>
  </cols>
  <sheetData>
    <row r="1">
      <c r="A1" t="str">
        <v>戰鬥計算機</v>
      </c>
    </row>
    <row r="2">
      <c r="A2" t="str">
        <v>輸入區</v>
      </c>
      <c r="B2" t="str">
        <v>值</v>
      </c>
      <c r="C2" t="str">
        <v>說明</v>
      </c>
    </row>
    <row r="3">
      <c r="A3" t="str">
        <v>怪物名稱</v>
      </c>
      <c r="B3" t="str">
        <v>古城弓手</v>
      </c>
      <c r="C3" t="str">
        <v>填怪物資料 B 欄名稱</v>
      </c>
    </row>
    <row r="4">
      <c r="A4" t="str">
        <v>玩家等級</v>
      </c>
      <c r="B4">
        <v>1</v>
      </c>
      <c r="C4" t="str">
        <v>currentProg.level / pStats.level</v>
      </c>
    </row>
    <row r="5">
      <c r="A5" t="str">
        <v>玩家 ATK</v>
      </c>
      <c r="B5">
        <v>100</v>
      </c>
      <c r="C5" t="str">
        <v>calcPlayerStats().atk</v>
      </c>
    </row>
    <row r="6">
      <c r="A6" t="str">
        <v>武器主屬性值</v>
      </c>
      <c r="B6">
        <v>30</v>
      </c>
      <c r="C6" t="str">
        <v>weaponMainStatValue，追加 = ×1.5</v>
      </c>
    </row>
    <row r="7">
      <c r="A7" t="str">
        <v>玩家 DEX</v>
      </c>
      <c r="B7">
        <v>10</v>
      </c>
      <c r="C7" t="str">
        <v>階級機率用</v>
      </c>
    </row>
    <row r="8">
      <c r="A8" t="str">
        <v>玩家 LUK</v>
      </c>
      <c r="B8">
        <v>10</v>
      </c>
      <c r="C8" t="str">
        <v>階級/爆擊用</v>
      </c>
    </row>
    <row r="9">
      <c r="A9" t="str">
        <v>玩家 HIT</v>
      </c>
      <c r="B9">
        <v>80</v>
      </c>
      <c r="C9" t="str">
        <v>命中公式用</v>
      </c>
    </row>
    <row r="10">
      <c r="A10" t="str">
        <v>玩家 CRIT %</v>
      </c>
      <c r="B10">
        <v>10</v>
      </c>
      <c r="C10" t="str">
        <v>含加成後</v>
      </c>
    </row>
    <row r="11">
      <c r="A11" t="str">
        <v>爆傷倍率附加</v>
      </c>
      <c r="B11">
        <v>1</v>
      </c>
      <c r="C11" t="str">
        <v>critDamageMultiplier × tierCritDamageMultiplier</v>
      </c>
    </row>
    <row r="12">
      <c r="A12" t="str">
        <v>連擊率 %</v>
      </c>
      <c r="B12">
        <v>10</v>
      </c>
      <c r="C12" t="str">
        <v>pStats.combo + party combo</v>
      </c>
    </row>
    <row r="13">
      <c r="A13" t="str">
        <v>連擊傷害倍率</v>
      </c>
      <c r="B13">
        <v>1</v>
      </c>
      <c r="C13" t="str">
        <v>comboDamageMultiplier</v>
      </c>
    </row>
    <row r="14">
      <c r="A14" t="str">
        <v>傷害浮動取值</v>
      </c>
      <c r="B14">
        <v>1</v>
      </c>
      <c r="C14" t="str">
        <v>填 dmgMin~dmgMax；1 是最大值</v>
      </c>
    </row>
    <row r="15">
      <c r="A15" t="str">
        <v>玩家攻擊倍率</v>
      </c>
      <c r="B15">
        <v>1</v>
      </c>
      <c r="C15" t="str">
        <v>atk_up/atk_down/charm 等</v>
      </c>
    </row>
    <row r="16">
      <c r="A16" t="str">
        <v>玩家最終傷倍率</v>
      </c>
      <c r="B16">
        <v>1</v>
      </c>
      <c r="C16" t="str">
        <v>active final_damage</v>
      </c>
    </row>
    <row r="17">
      <c r="A17" t="str">
        <v>裝備階級傷害倍率</v>
      </c>
      <c r="B17">
        <v>1</v>
      </c>
      <c r="C17" t="str">
        <v>tierDamageMultiplier</v>
      </c>
    </row>
    <row r="18">
      <c r="A18" t="str">
        <v>裝備階級終傷倍率</v>
      </c>
      <c r="B18">
        <v>1</v>
      </c>
      <c r="C18" t="str">
        <v>tierFinalDamageMultiplier</v>
      </c>
    </row>
    <row r="19">
      <c r="A19" t="str">
        <v>Boss 傷害倍率</v>
      </c>
      <c r="B19">
        <v>1</v>
      </c>
      <c r="C19" t="str">
        <v>Boss 才吃</v>
      </c>
    </row>
    <row r="20">
      <c r="A20" t="str">
        <v>條件增傷倍率</v>
      </c>
      <c r="B20">
        <v>1</v>
      </c>
      <c r="C20" t="str">
        <v>圖鑑/對 Boss/低血等</v>
      </c>
    </row>
    <row r="21">
      <c r="A21" t="str">
        <v>無視怪物 DEF %</v>
      </c>
      <c r="B21">
        <v>0</v>
      </c>
      <c r="C21" t="str">
        <v>武器/效果/party 合計</v>
      </c>
    </row>
    <row r="22">
      <c r="A22" t="str">
        <v>破防?</v>
      </c>
      <c r="B22" t="str">
        <v>FALSE</v>
      </c>
      <c r="C22" t="str">
        <v>TRUE 時 DEF%=0</v>
      </c>
    </row>
    <row r="23">
      <c r="A23" t="str">
        <v>攻擊階級</v>
      </c>
      <c r="B23" t="str">
        <v>success</v>
      </c>
      <c r="C23" t="str">
        <v>success/great/perfect/fail/critFail</v>
      </c>
    </row>
    <row r="24">
      <c r="A24" t="str">
        <v>防禦階級</v>
      </c>
      <c r="B24" t="str">
        <v>hit</v>
      </c>
      <c r="C24" t="str">
        <v>crushed/hit/reduce/graze</v>
      </c>
    </row>
    <row r="25">
      <c r="A25" t="str">
        <v>本擊爆擊?</v>
      </c>
      <c r="B25" t="str">
        <v>FALSE</v>
      </c>
      <c r="C25" t="str">
        <v>perfect 強制爆擊</v>
      </c>
    </row>
    <row r="26">
      <c r="A26" t="str">
        <v>怪物格擋?</v>
      </c>
      <c r="B26" t="str">
        <v>FALSE</v>
      </c>
      <c r="C26" t="str">
        <v>非爆擊=1，爆擊回退未爆傷害</v>
      </c>
    </row>
    <row r="27">
      <c r="A27" t="str">
        <v>怪物減傷 %</v>
      </c>
      <c r="B27">
        <v>0</v>
      </c>
      <c r="C27" t="str">
        <v>damageReductionPct</v>
      </c>
    </row>
    <row r="28">
      <c r="A28" t="str">
        <v>怪物受傷倍率</v>
      </c>
      <c r="B28">
        <v>1</v>
      </c>
      <c r="C28" t="str">
        <v>damageTakenMultiplier</v>
      </c>
    </row>
    <row r="29">
      <c r="A29" t="str">
        <v>裝備 zone 終傷倍率</v>
      </c>
      <c r="B29">
        <v>1</v>
      </c>
      <c r="C29" t="str">
        <v>equipZoneFinalDmgMult</v>
      </c>
    </row>
    <row r="30">
      <c r="A30" t="str">
        <v>連擊觸發?</v>
      </c>
      <c r="B30" t="str">
        <v>FALSE</v>
      </c>
      <c r="C30" t="str">
        <v>TRUE 時計入連擊</v>
      </c>
    </row>
    <row r="32">
      <c r="A32" t="str">
        <v>怪物查表</v>
      </c>
      <c r="B32" t="str">
        <v>值</v>
      </c>
    </row>
    <row r="33">
      <c r="A33" t="str">
        <v>ID</v>
      </c>
      <c r="B33" t="str">
        <v/>
      </c>
    </row>
    <row r="34">
      <c r="A34" t="str">
        <v>Zone</v>
      </c>
      <c r="B34" t="str">
        <v/>
      </c>
    </row>
    <row r="35">
      <c r="A35" t="str">
        <v>Is Boss</v>
      </c>
      <c r="B35">
        <f>IFERROR(INDEX('怪物資料'!$A:$A,MATCH($B$3,'怪物資料'!$B:$B,0)),"")</f>
        <v/>
      </c>
    </row>
    <row r="36">
      <c r="A36" t="str">
        <v>Level</v>
      </c>
      <c r="B36">
        <f>IFERROR(VLOOKUP($B$3,'怪物資料'!$B:$X,2,FALSE),"")</f>
        <v>0</v>
      </c>
    </row>
    <row r="37">
      <c r="A37" t="str">
        <v>Max HP</v>
      </c>
      <c r="B37">
        <f>IFERROR(VLOOKUP($B$3,'怪物資料'!$B:$X,5,FALSE),"")</f>
        <v>0</v>
      </c>
    </row>
    <row r="38">
      <c r="A38" t="str">
        <v>ATK</v>
      </c>
      <c r="B38">
        <f>IFERROR(VLOOKUP($B$3,'怪物資料'!$B:$X,6,FALSE),"")</f>
        <v>0</v>
      </c>
    </row>
    <row r="39">
      <c r="A39" t="str">
        <v>DEF %</v>
      </c>
      <c r="B39">
        <f>IFERROR(VLOOKUP($B$3,'怪物資料'!$B:$X,13,FALSE),"")</f>
        <v>0</v>
      </c>
    </row>
    <row r="40">
      <c r="A40" t="str">
        <v>Flat DEF</v>
      </c>
      <c r="B40">
        <f>IFERROR(VLOOKUP($B$3,'怪物資料'!$B:$X,14,FALSE),"")</f>
        <v>0</v>
      </c>
    </row>
    <row r="41">
      <c r="A41" t="str">
        <v>DODGE</v>
      </c>
      <c r="B41">
        <f>IFERROR(VLOOKUP($B$3,'怪物資料'!$B:$X,15,FALSE),"")</f>
        <v>0</v>
      </c>
    </row>
    <row r="42">
      <c r="A42" t="str">
        <v>HIT</v>
      </c>
      <c r="B42">
        <f>IFERROR(VLOOKUP($B$3,'怪物資料'!$B:$X,16,FALSE),"")</f>
        <v>0</v>
      </c>
    </row>
    <row r="43">
      <c r="A43" t="str">
        <v>DEX</v>
      </c>
      <c r="B43">
        <f>IFERROR(VLOOKUP($B$3,'怪物資料'!$B:$X,17,FALSE),"")</f>
        <v>0</v>
      </c>
    </row>
    <row r="44">
      <c r="A44" t="str">
        <v>LUK</v>
      </c>
      <c r="B44">
        <f>IFERROR(VLOOKUP($B$3,'怪物資料'!$B:$X,18,FALSE),"")</f>
        <v>0</v>
      </c>
    </row>
    <row r="45">
      <c r="A45" t="str">
        <v>Crit %</v>
      </c>
      <c r="B45">
        <f>IFERROR(VLOOKUP($B$3,'怪物資料'!$B:$X,11,FALSE),"")</f>
        <v>0</v>
      </c>
    </row>
    <row r="46">
      <c r="A46" t="str">
        <v>Combo %</v>
      </c>
      <c r="B46">
        <f>IFERROR(VLOOKUP($B$3,'怪物資料'!$B:$X,12,FALSE),"")</f>
        <v>0</v>
      </c>
    </row>
    <row r="47">
      <c r="A47" t="str">
        <v>Dmg Min</v>
      </c>
      <c r="B47">
        <f>IFERROR(VLOOKUP($B$3,'怪物資料'!$B:$X,19,FALSE),"")</f>
        <v>0</v>
      </c>
    </row>
    <row r="48">
      <c r="A48" t="str">
        <v>Dmg Max</v>
      </c>
      <c r="B48">
        <f>IFERROR(VLOOKUP($B$3,'怪物資料'!$B:$X,20,FALSE),"")</f>
        <v>0</v>
      </c>
    </row>
    <row r="49">
      <c r="A49" t="str">
        <v>Def Ignore %</v>
      </c>
      <c r="B49">
        <f>IFERROR(VLOOKUP($B$3,'怪物資料'!$B:$X,21,FALSE),"")</f>
        <v>0</v>
      </c>
    </row>
    <row r="50">
      <c r="B50">
        <f>IFERROR(VLOOKUP($B$3,'怪物資料'!$B:$X,22,FALSE),"")</f>
        <v>0</v>
      </c>
    </row>
    <row r="51">
      <c r="A51" t="str">
        <v>玩家打怪計算</v>
      </c>
      <c r="B51">
        <f>IFERROR(VLOOKUP($B$3,'怪物資料'!$B:$X,23,FALSE),"")</f>
        <v>0</v>
      </c>
    </row>
    <row r="52">
      <c r="A52" t="str">
        <v>命中率 %</v>
      </c>
      <c r="B52" t="str">
        <v/>
      </c>
    </row>
    <row r="53">
      <c r="A53" t="str">
        <v>等級倍率</v>
      </c>
      <c r="B53" t="str">
        <v/>
      </c>
    </row>
    <row r="54">
      <c r="A54" t="str">
        <v>武器主屬性追加</v>
      </c>
      <c r="B54">
        <f>MIN(95,MAX(20,75+$B$9*0.5-$B$44*0.6))</f>
        <v>0</v>
      </c>
    </row>
    <row r="55">
      <c r="A55" t="str">
        <v>有效怪物 DEF %</v>
      </c>
      <c r="B55">
        <f>IF($B$4&gt;=$B$38,1+MIN(20,($B$4-$B$38)*2)/100,1-MIN(50,($B$38-$B$4)*2)/100)</f>
        <v>0</v>
      </c>
    </row>
    <row r="56">
      <c r="A56" t="str">
        <v>攻擊基礎 attackBase</v>
      </c>
      <c r="B56">
        <f>MAX(0,ROUND($B$6*1.5,0))</f>
        <v>0</v>
      </c>
    </row>
    <row r="57">
      <c r="A57" t="str">
        <v>有效 flatDef</v>
      </c>
      <c r="B57">
        <f>IF($B$22="TRUE",0,MAX(0,$B$41*(1-MIN(100,MAX(0,$B$21))/100)))</f>
        <v>0</v>
      </c>
    </row>
    <row r="58">
      <c r="A58" t="str">
        <v>防禦後傷害</v>
      </c>
      <c r="B58">
        <f>MAX(1,ROUND($B$5*$B$15*$B$16*$B$17*$B$18*IF($B$37=TRUE,$B$19,1)*$B$20*B55,0))</f>
        <v>0</v>
      </c>
    </row>
    <row r="59">
      <c r="A59" t="str">
        <v>攻擊階級倍率</v>
      </c>
      <c r="B59">
        <f>IF(AND($B$5&gt;0,B58&gt;$B$5),$B$42*(B58/$B$5),$B$42)</f>
        <v>0</v>
      </c>
    </row>
    <row r="60">
      <c r="A60" t="str">
        <v>防禦階級倍率</v>
      </c>
      <c r="B60">
        <f>MAX(1,ROUND(MAX(0,B58-B59)*(1-B57/100),0))</f>
        <v>0</v>
      </c>
    </row>
    <row r="61">
      <c r="A61" t="str">
        <v>未爆擊傷害</v>
      </c>
      <c r="B61">
        <f>SWITCH($B$23,"critFail",0,"fail",0,"success",1,"great",1.3,"perfect",1,1)</f>
        <v>0</v>
      </c>
    </row>
    <row r="62">
      <c r="A62" t="str">
        <v>爆擊路徑傷害</v>
      </c>
      <c r="B62">
        <f>SWITCH($B$24,"crushed",1.3,"hit",1,"reduce",0.7,"graze",0.3,1)</f>
        <v>0</v>
      </c>
    </row>
    <row r="63">
      <c r="A63" t="str">
        <v>格擋後傷害</v>
      </c>
      <c r="B63">
        <f>IF(OR($B$23="fail",$B$23="critFail"),0,MAX(1,ROUND(MAX(1,ROUND(B60*$B$14,0))*B61*B62,0)))</f>
        <v>0</v>
      </c>
    </row>
    <row r="64">
      <c r="A64" t="str">
        <v>最終單擊傷害</v>
      </c>
      <c r="B64">
        <f>IF(OR($B$23="fail",$B$23="critFail"),0,ROUND(MAX(1,ROUND(B60*$B$14,0))*2*$B$11,0))</f>
        <v>0</v>
      </c>
    </row>
    <row r="65">
      <c r="A65" t="str">
        <v>連擊追加傷害</v>
      </c>
      <c r="B65">
        <f>IF($B$26="TRUE",IF(OR($B$25="TRUE",$B$23="perfect"),MAX(1,ROUND(B63,0)),1),IF(OR($B$25="TRUE",$B$23="perfect"),B64,B63))</f>
        <v>0</v>
      </c>
    </row>
    <row r="66">
      <c r="A66" t="str">
        <v>本次總傷害</v>
      </c>
      <c r="B66">
        <f>IF(B65=0,0,MAX(1,ROUND(MAX(0,B65)*(1-MIN(95,$B$27)/100)*$B$28*$B$29,0))+B56)</f>
        <v>0</v>
      </c>
    </row>
    <row r="67">
      <c r="B67">
        <f>IF($B$30="TRUE",MAX(1,ROUND(MAX(1,B66-B56)*$B$13,0)+B56),0)</f>
        <v>0</v>
      </c>
    </row>
    <row r="68">
      <c r="A68" t="str">
        <v>機率參考</v>
      </c>
      <c r="B68">
        <f>B66+B67</f>
        <v>0</v>
      </c>
    </row>
    <row r="69">
      <c r="A69" t="str">
        <v>攻擊大失敗 %</v>
      </c>
      <c r="B69" t="str">
        <v/>
      </c>
    </row>
    <row r="70">
      <c r="A70" t="str">
        <v>攻擊失敗 %</v>
      </c>
      <c r="B70" t="str">
        <v/>
      </c>
    </row>
    <row r="71">
      <c r="A71" t="str">
        <v>攻擊成功 %</v>
      </c>
      <c r="B71" t="str">
        <v/>
      </c>
    </row>
    <row r="72">
      <c r="A72" t="str">
        <v>攻擊大成功 %</v>
      </c>
      <c r="B72">
        <f>MAX(0,5-$B$7*0.025-$B$8*0.05)</f>
        <v>0</v>
      </c>
    </row>
    <row r="73">
      <c r="A73" t="str">
        <v>攻擊完美 %</v>
      </c>
      <c r="B73">
        <f>MAX(0,10-$B$7*0.05)</f>
        <v>0</v>
      </c>
    </row>
    <row r="74">
      <c r="A74" t="str">
        <v>防禦被爆打 %</v>
      </c>
      <c r="B74">
        <f>MAX(0,100-B72-B73-B75-B76)</f>
        <v>0</v>
      </c>
    </row>
    <row r="75">
      <c r="A75" t="str">
        <v>防禦被打 %</v>
      </c>
      <c r="B75">
        <f>15+$B$7*0.075+$B$8*0.05</f>
        <v>0</v>
      </c>
    </row>
    <row r="76">
      <c r="A76" t="str">
        <v>防禦減傷 %</v>
      </c>
      <c r="B76">
        <f>5</f>
        <v>0</v>
      </c>
    </row>
    <row r="77">
      <c r="A77" t="str">
        <v>防禦擦傷 %</v>
      </c>
      <c r="B77">
        <f>MAX(3,5-$B$45*0.025-$B$46*0.05)</f>
        <v>0</v>
      </c>
    </row>
  </sheetData>
  <ignoredErrors>
    <ignoredError numberStoredAsText="1" sqref="A1:C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cols>
    <col min="1" max="1" width="22.83203125" customWidth="1"/>
    <col min="2" max="2" width="18.83203125" customWidth="1"/>
    <col min="3" max="3" width="64.83203125" customWidth="1"/>
  </cols>
  <sheetData>
    <row r="1">
      <c r="A1" t="str">
        <v>世界王計算機</v>
      </c>
    </row>
    <row r="2">
      <c r="A2" t="str">
        <v>輸入區</v>
      </c>
      <c r="B2" t="str">
        <v>值</v>
      </c>
      <c r="C2" t="str">
        <v>說明</v>
      </c>
    </row>
    <row r="3">
      <c r="A3" t="str">
        <v>怪物名稱</v>
      </c>
      <c r="B3" t="str">
        <v>大史王</v>
      </c>
      <c r="C3" t="str">
        <v>填怪物資料 B 欄名稱</v>
      </c>
    </row>
    <row r="4">
      <c r="A4" t="str">
        <v>玩家等級</v>
      </c>
      <c r="B4">
        <v>1</v>
      </c>
      <c r="C4" t="str">
        <v>currentProg.level / pStats.level</v>
      </c>
    </row>
    <row r="5">
      <c r="A5" t="str">
        <v>玩家 ATK</v>
      </c>
      <c r="B5">
        <v>100</v>
      </c>
      <c r="C5" t="str">
        <v>calcPlayerStats().atk</v>
      </c>
    </row>
    <row r="6">
      <c r="A6" t="str">
        <v>武器主屬性值</v>
      </c>
      <c r="B6">
        <v>30</v>
      </c>
      <c r="C6" t="str">
        <v>weaponMainStatValue，追加 = ×1.5</v>
      </c>
    </row>
    <row r="7">
      <c r="A7" t="str">
        <v>玩家 DEX</v>
      </c>
      <c r="B7">
        <v>10</v>
      </c>
      <c r="C7" t="str">
        <v>階級機率用</v>
      </c>
    </row>
    <row r="8">
      <c r="A8" t="str">
        <v>玩家 LUK</v>
      </c>
      <c r="B8">
        <v>10</v>
      </c>
      <c r="C8" t="str">
        <v>階級/爆擊用</v>
      </c>
    </row>
    <row r="9">
      <c r="A9" t="str">
        <v>玩家 HIT</v>
      </c>
      <c r="B9">
        <v>80</v>
      </c>
      <c r="C9" t="str">
        <v>命中公式用</v>
      </c>
    </row>
    <row r="10">
      <c r="A10" t="str">
        <v>玩家 CRIT %</v>
      </c>
      <c r="B10">
        <v>10</v>
      </c>
      <c r="C10" t="str">
        <v>含加成後</v>
      </c>
    </row>
    <row r="11">
      <c r="A11" t="str">
        <v>爆傷倍率附加</v>
      </c>
      <c r="B11">
        <v>1</v>
      </c>
      <c r="C11" t="str">
        <v>critDamageMultiplier × tierCritDamageMultiplier</v>
      </c>
    </row>
    <row r="12">
      <c r="A12" t="str">
        <v>連擊率 %</v>
      </c>
      <c r="B12">
        <v>10</v>
      </c>
      <c r="C12" t="str">
        <v>pStats.combo + party combo</v>
      </c>
    </row>
    <row r="13">
      <c r="A13" t="str">
        <v>連擊傷害倍率</v>
      </c>
      <c r="B13">
        <v>1</v>
      </c>
      <c r="C13" t="str">
        <v>comboDamageMultiplier</v>
      </c>
    </row>
    <row r="14">
      <c r="A14" t="str">
        <v>傷害浮動取值</v>
      </c>
      <c r="B14">
        <v>1</v>
      </c>
      <c r="C14" t="str">
        <v>填 dmgMin~dmgMax；1 是最大值</v>
      </c>
    </row>
    <row r="15">
      <c r="A15" t="str">
        <v>玩家攻擊倍率</v>
      </c>
      <c r="B15">
        <v>1</v>
      </c>
      <c r="C15" t="str">
        <v>atk_up/atk_down/charm 等</v>
      </c>
    </row>
    <row r="16">
      <c r="A16" t="str">
        <v>玩家最終傷倍率</v>
      </c>
      <c r="B16">
        <v>1</v>
      </c>
      <c r="C16" t="str">
        <v>active final_damage</v>
      </c>
    </row>
    <row r="17">
      <c r="A17" t="str">
        <v>裝備階級傷害倍率</v>
      </c>
      <c r="B17">
        <v>1</v>
      </c>
      <c r="C17" t="str">
        <v>tierDamageMultiplier</v>
      </c>
    </row>
    <row r="18">
      <c r="A18" t="str">
        <v>裝備階級終傷倍率</v>
      </c>
      <c r="B18">
        <v>1</v>
      </c>
      <c r="C18" t="str">
        <v>tierFinalDamageMultiplier</v>
      </c>
    </row>
    <row r="19">
      <c r="A19" t="str">
        <v>Boss 傷害倍率</v>
      </c>
      <c r="B19">
        <v>1</v>
      </c>
      <c r="C19" t="str">
        <v>Boss 才吃</v>
      </c>
    </row>
    <row r="20">
      <c r="A20" t="str">
        <v>條件增傷倍率</v>
      </c>
      <c r="B20">
        <v>1</v>
      </c>
      <c r="C20" t="str">
        <v>圖鑑/對 Boss/低血等</v>
      </c>
    </row>
    <row r="21">
      <c r="A21" t="str">
        <v>無視怪物 DEF %</v>
      </c>
      <c r="B21">
        <v>0</v>
      </c>
      <c r="C21" t="str">
        <v>武器/效果/party 合計</v>
      </c>
    </row>
    <row r="22">
      <c r="A22" t="str">
        <v>破防?</v>
      </c>
      <c r="B22" t="str">
        <v>FALSE</v>
      </c>
      <c r="C22" t="str">
        <v>TRUE 時 DEF%=0</v>
      </c>
    </row>
    <row r="23">
      <c r="A23" t="str">
        <v>攻擊階級</v>
      </c>
      <c r="B23" t="str">
        <v>success</v>
      </c>
      <c r="C23" t="str">
        <v>success/great/perfect/fail/critFail</v>
      </c>
    </row>
    <row r="24">
      <c r="A24" t="str">
        <v>防禦階級</v>
      </c>
      <c r="B24" t="str">
        <v>hit</v>
      </c>
      <c r="C24" t="str">
        <v>crushed/hit/reduce/graze</v>
      </c>
    </row>
    <row r="25">
      <c r="A25" t="str">
        <v>本擊爆擊?</v>
      </c>
      <c r="B25" t="str">
        <v>FALSE</v>
      </c>
      <c r="C25" t="str">
        <v>perfect 強制爆擊</v>
      </c>
    </row>
    <row r="26">
      <c r="A26" t="str">
        <v>怪物格擋?</v>
      </c>
      <c r="B26" t="str">
        <v>FALSE</v>
      </c>
      <c r="C26" t="str">
        <v>非爆擊=1，爆擊回退未爆傷害</v>
      </c>
    </row>
    <row r="27">
      <c r="A27" t="str">
        <v>怪物減傷 %</v>
      </c>
      <c r="B27">
        <v>0</v>
      </c>
      <c r="C27" t="str">
        <v>damageReductionPct</v>
      </c>
    </row>
    <row r="28">
      <c r="A28" t="str">
        <v>怪物受傷倍率</v>
      </c>
      <c r="B28">
        <v>1</v>
      </c>
      <c r="C28" t="str">
        <v>damageTakenMultiplier</v>
      </c>
    </row>
    <row r="29">
      <c r="A29" t="str">
        <v>裝備 zone 終傷倍率</v>
      </c>
      <c r="B29">
        <v>1</v>
      </c>
      <c r="C29" t="str">
        <v>equipZoneFinalDmgMult</v>
      </c>
    </row>
    <row r="30">
      <c r="A30" t="str">
        <v>連擊觸發?</v>
      </c>
      <c r="B30" t="str">
        <v>FALSE</v>
      </c>
      <c r="C30" t="str">
        <v>TRUE 時計入連擊</v>
      </c>
    </row>
    <row r="31">
      <c r="A31" t="str">
        <v>世界王 HP %</v>
      </c>
      <c r="B31">
        <v>100</v>
      </c>
      <c r="C31" t="str">
        <v>決定 phase</v>
      </c>
    </row>
    <row r="32">
      <c r="A32" t="str">
        <v>目標部位</v>
      </c>
      <c r="B32" t="str">
        <v>body</v>
      </c>
      <c r="C32" t="str">
        <v>head/body/legs/wings</v>
      </c>
    </row>
    <row r="33">
      <c r="A33" t="str">
        <v>古龍王 legs 已破?</v>
      </c>
      <c r="B33" t="str">
        <v>FALSE</v>
      </c>
      <c r="C33" t="str">
        <v>怪 ATK ×0.8</v>
      </c>
    </row>
    <row r="34">
      <c r="A34" t="str">
        <v>古龍王 wings 已破?</v>
      </c>
      <c r="B34" t="str">
        <v>FALSE</v>
      </c>
      <c r="C34" t="str">
        <v>雷擊 ×0.85</v>
      </c>
    </row>
    <row r="35">
      <c r="A35" t="str">
        <v>雷擊命中?</v>
      </c>
      <c r="B35" t="str">
        <v>FALSE</v>
      </c>
      <c r="C35" t="str">
        <v>phase&gt;=2 才可能</v>
      </c>
    </row>
    <row r="36">
      <c r="A36" t="str">
        <v>玩家最大 HP</v>
      </c>
      <c r="B36">
        <v>1000</v>
      </c>
      <c r="C36" t="str">
        <v>雷擊用</v>
      </c>
    </row>
    <row r="37">
      <c r="A37" t="str">
        <v>雷擊傷害 %</v>
      </c>
      <c r="B37">
        <v>25</v>
      </c>
      <c r="C37" t="str">
        <v>combatLoop 預設 25</v>
      </c>
    </row>
    <row r="39">
      <c r="A39" t="str">
        <v>怪物查表</v>
      </c>
      <c r="B39" t="str">
        <v>值</v>
      </c>
    </row>
    <row r="40">
      <c r="A40" t="str">
        <v>ID</v>
      </c>
      <c r="B40" t="str">
        <v/>
      </c>
    </row>
    <row r="41">
      <c r="A41" t="str">
        <v>Zone</v>
      </c>
      <c r="B41" t="str">
        <v/>
      </c>
    </row>
    <row r="42">
      <c r="A42" t="str">
        <v>Is Boss</v>
      </c>
      <c r="B42">
        <f>IFERROR(INDEX('怪物資料'!$A:$A,MATCH($B$3,'怪物資料'!$B:$B,0)),"")</f>
        <v/>
      </c>
    </row>
    <row r="43">
      <c r="A43" t="str">
        <v>Level</v>
      </c>
      <c r="B43">
        <f>IFERROR(VLOOKUP($B$3,'怪物資料'!$B:$X,2,FALSE),"")</f>
        <v>0</v>
      </c>
    </row>
    <row r="44">
      <c r="A44" t="str">
        <v>Max HP</v>
      </c>
      <c r="B44">
        <f>IFERROR(VLOOKUP($B$3,'怪物資料'!$B:$X,5,FALSE),"")</f>
        <v>0</v>
      </c>
    </row>
    <row r="45">
      <c r="A45" t="str">
        <v>ATK</v>
      </c>
      <c r="B45">
        <f>IFERROR(VLOOKUP($B$3,'怪物資料'!$B:$X,6,FALSE),"")</f>
        <v>0</v>
      </c>
    </row>
    <row r="46">
      <c r="A46" t="str">
        <v>DEF %</v>
      </c>
      <c r="B46">
        <f>IFERROR(VLOOKUP($B$3,'怪物資料'!$B:$X,13,FALSE),"")</f>
        <v>0</v>
      </c>
    </row>
    <row r="47">
      <c r="A47" t="str">
        <v>Flat DEF</v>
      </c>
      <c r="B47">
        <f>IFERROR(VLOOKUP($B$3,'怪物資料'!$B:$X,14,FALSE),"")</f>
        <v>0</v>
      </c>
    </row>
    <row r="48">
      <c r="A48" t="str">
        <v>DODGE</v>
      </c>
      <c r="B48">
        <f>IFERROR(VLOOKUP($B$3,'怪物資料'!$B:$X,15,FALSE),"")</f>
        <v>0</v>
      </c>
    </row>
    <row r="49">
      <c r="A49" t="str">
        <v>HIT</v>
      </c>
      <c r="B49">
        <f>IFERROR(VLOOKUP($B$3,'怪物資料'!$B:$X,16,FALSE),"")</f>
        <v>0</v>
      </c>
    </row>
    <row r="50">
      <c r="A50" t="str">
        <v>DEX</v>
      </c>
      <c r="B50">
        <f>IFERROR(VLOOKUP($B$3,'怪物資料'!$B:$X,17,FALSE),"")</f>
        <v>0</v>
      </c>
    </row>
    <row r="51">
      <c r="A51" t="str">
        <v>LUK</v>
      </c>
      <c r="B51">
        <f>IFERROR(VLOOKUP($B$3,'怪物資料'!$B:$X,18,FALSE),"")</f>
        <v>0</v>
      </c>
    </row>
    <row r="52">
      <c r="A52" t="str">
        <v>Crit %</v>
      </c>
      <c r="B52">
        <f>IFERROR(VLOOKUP($B$3,'怪物資料'!$B:$X,11,FALSE),"")</f>
        <v>0</v>
      </c>
    </row>
    <row r="53">
      <c r="A53" t="str">
        <v>Combo %</v>
      </c>
      <c r="B53">
        <f>IFERROR(VLOOKUP($B$3,'怪物資料'!$B:$X,12,FALSE),"")</f>
        <v>0</v>
      </c>
    </row>
    <row r="54">
      <c r="A54" t="str">
        <v>Dmg Min</v>
      </c>
      <c r="B54">
        <f>IFERROR(VLOOKUP($B$3,'怪物資料'!$B:$X,19,FALSE),"")</f>
        <v>0</v>
      </c>
    </row>
    <row r="55">
      <c r="A55" t="str">
        <v>Dmg Max</v>
      </c>
      <c r="B55">
        <f>IFERROR(VLOOKUP($B$3,'怪物資料'!$B:$X,20,FALSE),"")</f>
        <v>0</v>
      </c>
    </row>
    <row r="56">
      <c r="A56" t="str">
        <v>Def Ignore %</v>
      </c>
      <c r="B56">
        <f>IFERROR(VLOOKUP($B$3,'怪物資料'!$B:$X,21,FALSE),"")</f>
        <v>0</v>
      </c>
    </row>
    <row r="57">
      <c r="B57">
        <f>IFERROR(VLOOKUP($B$3,'怪物資料'!$B:$X,22,FALSE),"")</f>
        <v>0</v>
      </c>
    </row>
    <row r="58">
      <c r="A58" t="str">
        <v>玩家打怪計算</v>
      </c>
      <c r="B58">
        <f>IFERROR(VLOOKUP($B$3,'怪物資料'!$B:$X,23,FALSE),"")</f>
        <v>0</v>
      </c>
    </row>
    <row r="59">
      <c r="A59" t="str">
        <v>命中率 %</v>
      </c>
      <c r="B59" t="str">
        <v/>
      </c>
    </row>
    <row r="60">
      <c r="A60" t="str">
        <v>等級倍率</v>
      </c>
      <c r="B60" t="str">
        <v/>
      </c>
    </row>
    <row r="61">
      <c r="A61" t="str">
        <v>武器主屬性追加</v>
      </c>
      <c r="B61">
        <f>MIN(95,MAX(20,75+$B$9*0.5-$B$51*0.6))</f>
        <v>0</v>
      </c>
    </row>
    <row r="62">
      <c r="A62" t="str">
        <v>有效怪物 DEF %</v>
      </c>
      <c r="B62">
        <f>IF($B$4&gt;=$B$45,1+MIN(20,($B$4-$B$45)*2)/100,1-MIN(50,($B$45-$B$4)*2)/100)</f>
        <v>0</v>
      </c>
    </row>
    <row r="63">
      <c r="A63" t="str">
        <v>攻擊基礎 attackBase</v>
      </c>
      <c r="B63">
        <f>MAX(0,ROUND($B$6*1.5,0))</f>
        <v>0</v>
      </c>
    </row>
    <row r="64">
      <c r="A64" t="str">
        <v>有效 flatDef</v>
      </c>
      <c r="B64">
        <f>IF($B$22="TRUE",0,MAX(0,$B$48*(1-MIN(100,MAX(0,$B$21))/100)))</f>
        <v>0</v>
      </c>
    </row>
    <row r="65">
      <c r="A65" t="str">
        <v>防禦後傷害</v>
      </c>
      <c r="B65">
        <f>MAX(1,ROUND($B$5*IF($B$32="body",0.8,1)*$B$15*$B$16*$B$17*$B$18*IF($B$44=TRUE,$B$19,1)*$B$20*B62,0))</f>
        <v>0</v>
      </c>
    </row>
    <row r="66">
      <c r="A66" t="str">
        <v>攻擊階級倍率</v>
      </c>
      <c r="B66">
        <f>IF(AND($B$5&gt;0,B65&gt;$B$5),$B$49*(B65/$B$5),$B$49)</f>
        <v>0</v>
      </c>
    </row>
    <row r="67">
      <c r="A67" t="str">
        <v>防禦階級倍率</v>
      </c>
      <c r="B67">
        <f>MAX(1,ROUND(MAX(0,B65-B66)*(1-B64/100),0))</f>
        <v>0</v>
      </c>
    </row>
    <row r="68">
      <c r="A68" t="str">
        <v>未爆擊傷害</v>
      </c>
      <c r="B68">
        <f>SWITCH($B$23,"critFail",0,"fail",0,"success",1,"great",1.3,"perfect",1,1)</f>
        <v>0</v>
      </c>
    </row>
    <row r="69">
      <c r="A69" t="str">
        <v>爆擊路徑傷害</v>
      </c>
      <c r="B69">
        <f>SWITCH($B$24,"crushed",1.3,"hit",1,"reduce",0.7,"graze",0.3,1)</f>
        <v>0</v>
      </c>
    </row>
    <row r="70">
      <c r="A70" t="str">
        <v>格擋後傷害</v>
      </c>
      <c r="B70">
        <f>IF(OR($B$23="fail",$B$23="critFail"),0,MAX(1,ROUND(MAX(1,ROUND(B67*$B$14,0))*B68*B69,0)))</f>
        <v>0</v>
      </c>
    </row>
    <row r="71">
      <c r="A71" t="str">
        <v>最終單擊傷害</v>
      </c>
      <c r="B71">
        <f>IF(OR($B$23="fail",$B$23="critFail"),0,ROUND(MAX(1,ROUND(B67*$B$14,0))*2*$B$11,0))</f>
        <v>0</v>
      </c>
    </row>
    <row r="72">
      <c r="A72" t="str">
        <v>連擊追加傷害</v>
      </c>
      <c r="B72">
        <f>IF($B$26="TRUE",IF(OR($B$25="TRUE",$B$23="perfect"),MAX(1,ROUND(B70,0)),1),IF(OR($B$25="TRUE",$B$23="perfect"),B71,B70))</f>
        <v>0</v>
      </c>
    </row>
    <row r="73">
      <c r="A73" t="str">
        <v>本次總傷害</v>
      </c>
      <c r="B73">
        <f>IF(B72=0,0,MAX(1,ROUND(MAX(0,B72)*(1-MIN(95,$B$27)/100)*$B$28*$B$29,0))+B63)</f>
        <v>0</v>
      </c>
    </row>
    <row r="74">
      <c r="A74" t="str">
        <v>雷擊傷害</v>
      </c>
      <c r="B74">
        <f>IF($B$30="TRUE",MAX(1,ROUND(MAX(1,B73-B63)*$B$13,0)+B63),0)</f>
        <v>0</v>
      </c>
    </row>
    <row r="75">
      <c r="B75">
        <f>B73+B74</f>
        <v>0</v>
      </c>
    </row>
    <row r="76">
      <c r="A76" t="str">
        <v>機率參考</v>
      </c>
      <c r="B76">
        <f>IF(AND($B$35="TRUE",$B$31&lt;=40),MAX(1,ROUND($B$36*$B$37/100*IF($B$34="TRUE",0.85,1),0)),0)</f>
        <v>0</v>
      </c>
    </row>
    <row r="77">
      <c r="A77" t="str">
        <v>攻擊大失敗 %</v>
      </c>
      <c r="B77" t="str">
        <v/>
      </c>
    </row>
    <row r="78">
      <c r="A78" t="str">
        <v>攻擊失敗 %</v>
      </c>
      <c r="B78" t="str">
        <v/>
      </c>
    </row>
    <row r="79">
      <c r="A79" t="str">
        <v>攻擊成功 %</v>
      </c>
      <c r="B79" t="str">
        <v/>
      </c>
    </row>
    <row r="80">
      <c r="A80" t="str">
        <v>攻擊大成功 %</v>
      </c>
      <c r="B80">
        <f>MAX(0,5-$B$7*0.025-$B$8*0.05)</f>
        <v>0</v>
      </c>
    </row>
    <row r="81">
      <c r="A81" t="str">
        <v>攻擊完美 %</v>
      </c>
      <c r="B81">
        <f>MAX(0,10-$B$7*0.05)</f>
        <v>0</v>
      </c>
    </row>
    <row r="82">
      <c r="A82" t="str">
        <v>防禦被爆打 %</v>
      </c>
      <c r="B82">
        <f>MAX(0,100-B80-B81-B83-B84)</f>
        <v>0</v>
      </c>
    </row>
    <row r="83">
      <c r="A83" t="str">
        <v>防禦被打 %</v>
      </c>
      <c r="B83">
        <f>15+$B$7*0.075+$B$8*0.05</f>
        <v>0</v>
      </c>
    </row>
    <row r="84">
      <c r="A84" t="str">
        <v>防禦減傷 %</v>
      </c>
      <c r="B84">
        <f>5</f>
        <v>0</v>
      </c>
    </row>
    <row r="85">
      <c r="A85" t="str">
        <v>防禦擦傷 %</v>
      </c>
      <c r="B85">
        <f>MAX(3,5-$B$52*0.025-$B$53*0.05)</f>
        <v>0</v>
      </c>
    </row>
  </sheetData>
  <ignoredErrors>
    <ignoredError numberStoredAsText="1" sqref="A1:C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120.83203125" customWidth="1"/>
  </cols>
  <sheetData>
    <row r="1">
      <c r="A1" t="str">
        <v>公式說明</v>
      </c>
    </row>
    <row r="2">
      <c r="A2" t="str">
        <v>來源</v>
      </c>
      <c r="B2" t="str">
        <v>src/shared/combatLoop.js、src/shared/combatStats.js、src/shared/hitChance.js、src/services/monster/monsterService.js、src/bot/handlers/monsterZoneHandlers.js</v>
      </c>
    </row>
    <row r="3">
      <c r="A3" t="str">
        <v>命中率</v>
      </c>
      <c r="B3" t="str">
        <v>clamp(75 + HIT*0.5 - DODGE*0.6, min 20, max 95)</v>
      </c>
    </row>
    <row r="4">
      <c r="A4" t="str">
        <v>等級壓制</v>
      </c>
      <c r="B4" t="str">
        <v>高打低每級 +2%，最多 +20%；低打高每級 -2%，最多 -50%</v>
      </c>
    </row>
    <row r="5">
      <c r="A5" t="str">
        <v>防禦公式</v>
      </c>
      <c r="B5" t="str">
        <v>applyDefense(raw, flatDef, pctDef, rawAtk)：若 raw&gt;rawAtk，flatDef 依 raw/rawAtk 放大；再做百分比 DEF；至少 1</v>
      </c>
    </row>
    <row r="6">
      <c r="A6" t="str">
        <v>玩家單擊</v>
      </c>
      <c r="B6" t="str">
        <v>attackBase → applyDefense → 傷害浮動 → 攻擊階級 → 防禦階級 → 爆擊分支 → 格擋 → 怪物減傷/受傷倍率 → zone 終傷 → 武器主屬性追加</v>
      </c>
    </row>
    <row r="7">
      <c r="A7" t="str">
        <v>爆擊</v>
      </c>
      <c r="B7" t="str">
        <v>完美攻擊階級強制爆擊；爆擊路徑依程式重算防禦後傷害 × 2 × 爆傷倍率，不沿用防禦階級倍率</v>
      </c>
    </row>
    <row r="8">
      <c r="A8" t="str">
        <v>格擋</v>
      </c>
      <c r="B8" t="str">
        <v>怪物格擋時，非爆擊傷害=1；爆擊時回退到未爆擊傷害</v>
      </c>
    </row>
    <row r="9">
      <c r="A9" t="str">
        <v>連擊</v>
      </c>
      <c r="B9" t="str">
        <v>觸發時以「單擊傷害扣掉武器主屬性追加」× comboDamageMultiplier，再加回武器主屬性追加</v>
      </c>
    </row>
    <row r="10">
      <c r="A10" t="str">
        <v>世界王</v>
      </c>
      <c r="B10" t="str">
        <v>先套 phase atk/def 倍率，接著依部位調整；Phase&gt;=2 有雷擊，Phase&gt;=3 有 AGI 壓制</v>
      </c>
    </row>
    <row r="11">
      <c r="A11" t="str">
        <v>注意</v>
      </c>
      <c r="B11" t="str">
        <v>裝備/職業/卡片 proc、DOT、治療、護盾等跨回合效果保留倍率輸入欄位讓你填入已折算後數值；單擊傷害公式本身照目前程式。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怪物資料</vt:lpstr>
      <vt:lpstr>世界王階段</vt:lpstr>
      <vt:lpstr>戰鬥計算機</vt:lpstr>
      <vt:lpstr>世界王計算機</vt:lpstr>
      <vt:lpstr>公式說明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